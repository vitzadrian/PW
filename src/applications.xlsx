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mc:AlternateContent xmlns:mc="http://schemas.openxmlformats.org/markup-compatibility/2006">
    <mc:Choice Requires="x15">
      <x15ac:absPath xmlns:x15ac="http://schemas.microsoft.com/office/spreadsheetml/2010/11/ac" url="C:\Users\vitzthuad\Documents\Projekt\"/>
    </mc:Choice>
  </mc:AlternateContent>
  <xr:revisionPtr revIDLastSave="0" documentId="13_ncr:1_{9EAC8E5F-9DB5-44C8-97E4-0A3436BA62E7}" xr6:coauthVersionLast="47" xr6:coauthVersionMax="47" xr10:uidLastSave="{00000000-0000-0000-0000-000000000000}"/>
  <bookViews>
    <workbookView xWindow="38280" yWindow="15" windowWidth="38640" windowHeight="21240" xr2:uid="{00000000-000D-0000-FFFF-FFFF00000000}"/>
  </bookViews>
  <sheets>
    <sheet name="Tabelle1" sheetId="1" r:id="rId1"/>
    <sheet name="Tabelle2" sheetId="2" r:id="rId2"/>
    <sheet name="Tabelle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 i="1" l="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2"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U11" i="1"/>
  <c r="U3" i="1"/>
  <c r="U4" i="1"/>
  <c r="U5" i="1"/>
  <c r="U6" i="1"/>
  <c r="U7" i="1"/>
  <c r="U8" i="1"/>
  <c r="U9" i="1"/>
  <c r="U10"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2" i="1"/>
</calcChain>
</file>

<file path=xl/sharedStrings.xml><?xml version="1.0" encoding="utf-8"?>
<sst xmlns="http://schemas.openxmlformats.org/spreadsheetml/2006/main" count="7475" uniqueCount="4150">
  <si>
    <t>id</t>
  </si>
  <si>
    <t>name</t>
  </si>
  <si>
    <t>title</t>
  </si>
  <si>
    <t>version</t>
  </si>
  <si>
    <t>url</t>
  </si>
  <si>
    <t>notes</t>
  </si>
  <si>
    <t>license_id</t>
  </si>
  <si>
    <t>author</t>
  </si>
  <si>
    <t>author_email</t>
  </si>
  <si>
    <t>maintainer</t>
  </si>
  <si>
    <t>maintainer_email</t>
  </si>
  <si>
    <t>state</t>
  </si>
  <si>
    <t>type</t>
  </si>
  <si>
    <t>owner_org</t>
  </si>
  <si>
    <t>private</t>
  </si>
  <si>
    <t>metadata_modified</t>
  </si>
  <si>
    <t>creator_user_id</t>
  </si>
  <si>
    <t>metadata_created</t>
  </si>
  <si>
    <t>plugin_data</t>
  </si>
  <si>
    <t>string_agg</t>
  </si>
  <si>
    <t>813b31b7-c492-4468-b0f1-f2569e8fd0b6</t>
  </si>
  <si>
    <t>linz-guide</t>
  </si>
  <si>
    <t>Linz Guide</t>
  </si>
  <si>
    <t xml:space="preserve">Linz Guide - Die ganze Stadt in deiner Hand!_x000D_
Veranstaltungen, Hotels, Sehenswürdigkeiten und Points of Interest - schnell und immer verfügbar._x000D_
### Features_x000D_
_x000D_
_x000D_
* Up-to-Date: automatische Updates in modifizierbaren Intervallen_x000D_
* 1-Klick-Navigation zu allen Wegpunkten_x000D_
* Android 4.0-Design, auch auf älteren Geräten_x000D_
* „In der Nähe“ - zeigt dir Points of Interest in deiner aktuellen Umgebung_x000D_
</t>
  </si>
  <si>
    <t>active</t>
  </si>
  <si>
    <t>application</t>
  </si>
  <si>
    <t>false</t>
  </si>
  <si>
    <t>2024-06-11 06:14:30.735738</t>
  </si>
  <si>
    <t>b178a84c-3a8d-4e6d-a589-effdc791767f</t>
  </si>
  <si>
    <t>[]</t>
  </si>
  <si>
    <t>a0bfac26-2404-4c15-b94b-50d7b3dad5dd</t>
  </si>
  <si>
    <t>offi</t>
  </si>
  <si>
    <t>Öffi</t>
  </si>
  <si>
    <t xml:space="preserve">Alle Infos, die du für Bus und Bahn brauchst_x000D_
* Abfahrtszeiten (live, inkl. Verspätungen)_x000D_
* nahegelegene Haltestellen (mit Karte)_x000D_
* Verbindungs-Abfragen_x000D_
* interaktive Netzpläne_x000D_
</t>
  </si>
  <si>
    <t>2024-06-11 06:14:39.623026</t>
  </si>
  <si>
    <t>["d3c0a223-516b-4049-9370-22881a0428d8", "7562f659-398d-46d7-9167-7f9ccaa00263", "9c203fec-dc0d-412c-a7a3-7fd77d0346f1"]</t>
  </si>
  <si>
    <t>7952e50f-2527-4085-b727-61095417682a</t>
  </si>
  <si>
    <t>hotspot-finder-auf-layar</t>
  </si>
  <si>
    <t>Hotspot Finder auf Layar</t>
  </si>
  <si>
    <t>Der Hotspot Finder visualisiert mittels Augmented Reality die Linzer WLAN Hotspots.</t>
  </si>
  <si>
    <t>2024-06-11 06:14:30.696647</t>
  </si>
  <si>
    <t>["b2068d46-de7f-4a22-a563-4dea59b1e6f2"]</t>
  </si>
  <si>
    <t>8b97400b-d327-45fa-8d38-88636d8dccfd</t>
  </si>
  <si>
    <t>idump-altstoffsammelstellen-am-smartphone</t>
  </si>
  <si>
    <t>iDump – Altstoffsammelstellen am Smartphone</t>
  </si>
  <si>
    <t>Die mobile Webapplikation zeigt über das Smartphone die Standorte der [Altstoffsammelstellen](https://www.data.gv.at/katalog/dataset/8d482810-26da-4bbc-8599-6b1fd1ab8743/) der MA 48. Der Standort der Benutzerin bzw. des Benutzers kann dabei berücksichtigt werden._x000D_
### Verfügbarkeit_x000D_
_x000D_
_x000D_
Die Web-App kann mit jedem (mobilen) Endgerät sinnvoll genutzt werden, das die Übermittlung des eigenen Standorts ermöglicht.</t>
  </si>
  <si>
    <t>2024-06-11 06:14:39.731844</t>
  </si>
  <si>
    <t>["8d482810-26da-4bbc-8599-6b1fd1ab8743"]</t>
  </si>
  <si>
    <t>6b462882-aded-4400-b7c5-e22de7598d68</t>
  </si>
  <si>
    <t>openvienna-android-app</t>
  </si>
  <si>
    <t>OpenVienna - Android App</t>
  </si>
  <si>
    <t>Die für Android-Mobilgeräte entwickelte App bietet eine einfache Möglichkeit, rasch die Standorte verschiedener [Datensätze von Open Government Data](http://data.wien.gv.at/katalog/) abzufragen. Neben der Ausgabe der Adresse zu jedem Standort erfolgt auch eine Platzierung in einer Karte.</t>
  </si>
  <si>
    <t>2024-06-11 06:14:30.893165</t>
  </si>
  <si>
    <t>4671e990-4f21-4d66-a151-570794cae78e</t>
  </si>
  <si>
    <t>next-wien-wo-ist-der-nachste</t>
  </si>
  <si>
    <t>Next.Wien. - Wo ist der nächste ...?</t>
  </si>
  <si>
    <t>Mit der Web-App "Next.Wien" demonstriert Autor Sindre Wimberger eine Umkreissuche aus mehreren Inhalten der Open Government Daten der Stadt Wien._x000D_
_x000D_
Abhängig vom Standort der Benutzerin oder des Benutzers wird das jeweils nächste Objekt im Umkreis angezeigt._x000D_
### Verfügbarkeit_x000D_
_x000D_
_x000D_
Die Web-App kann mit jedem (mobilen) Endgerät sinnvoll genutzt werden, das die Übermittlung des eigenen Standorts ermöglicht._x000D_
_x000D_
[Fragen, Ideen und Probleme](https://getsatisfaction.com/next)</t>
  </si>
  <si>
    <t>2024-06-11 06:14:30.82891</t>
  </si>
  <si>
    <t>dc514bf5-6ec9-4950-a079-d73bf3b4aa84</t>
  </si>
  <si>
    <t>appfahrt-2</t>
  </si>
  <si>
    <t>AppFahrt</t>
  </si>
  <si>
    <t>Diese App zeigt alle Haltestellen der öffentlichen Verkehrsmittel in Wien an, die sich rund um den aktuellen Standort befinden. Die Daten werden von data.wien.gv.at heruntergeladen und lokal gespeichert.</t>
  </si>
  <si>
    <t>2024-06-11 06:14:40.888361</t>
  </si>
  <si>
    <t>["21fca925-12ac-4215-ba1a-a9c73cb3b082"]</t>
  </si>
  <si>
    <t>b8d34fe1-b7d2-4008-8129-06cc5faf4a40</t>
  </si>
  <si>
    <t>urban-bitlife-mobile-applikation-zur-luftgute</t>
  </si>
  <si>
    <t>Urban bitLife: mobile Applikation zur Luftgüte</t>
  </si>
  <si>
    <t>urban bitLife ist eine mobile Applikation, die sich dem Thema Luftgüte auf spielerische Weise nähert._x000D_
Ein virtuelles Wesen, ein sogenanntes bitPet, lebt auf dem Mobiltelefon und reagiert auf die Luftverschmutzung, die im Umkreis des Telefons herrscht. In schadstoffreichen Gegenden verliert es an Energie, in Parks und Grünflächen kann es sich regenerieren. Eine Einflussnahme auf die Gesundheit des Tieres durch den User ist also nur durch eine Veränderung der physischen Position möglich. So kommt es zu einer Verknüpfung und Wechselwirkung zwischen der Gesundheit des Users und jener des bitPets. Derzeit ist urban bitLife für die Städte Wien und Linz verfügbar.</t>
  </si>
  <si>
    <t>2024-06-11 06:14:30.861423</t>
  </si>
  <si>
    <t>["8b3b3cdf-2be6-4f0b-8c86-f6be67e5b002"]</t>
  </si>
  <si>
    <t>5c9ccf1b-d7f5-4f06-89c0-a2a448fe8bef</t>
  </si>
  <si>
    <t>budgetvisualisierung-kremsmunster</t>
  </si>
  <si>
    <t>Budgetvisualisierung Kremsmünster</t>
  </si>
  <si>
    <t>Visualisierung der Budgetdaten (Einnahmen und Ausgaben) der Jahre 2003 bis 2012 der [Gemeinde Kremsmünster](http://data.kremsmuenster.gv.at).</t>
  </si>
  <si>
    <t>2024-06-11 06:14:31.056792</t>
  </si>
  <si>
    <t>["690db6b0-a291-412e-97bc-6d200d0a4b26", "5ffe0ecb-4902-41dc-b68b-12bd9caffdcd"]</t>
  </si>
  <si>
    <t>367f84c1-1ed7-4366-a9be-ac9bed17bc7f</t>
  </si>
  <si>
    <t>offenevergaben-at</t>
  </si>
  <si>
    <t>OffeneVergaben.at</t>
  </si>
  <si>
    <t>[OffeneVergaben.at](https://www.offenevergaben.at) versucht, Auftragsvergaben der öffentlichen Hand über €50.000 – mit einem Gesamtvolumen von Dutzenden Milliarden Euro pro Jahr – erstmals anhand von offenen Daten nachvollziehbar zu machen._x000D_
_x000D_
[OffeneVergaben.at](https://www.offenevergaben.at) bereitet offene Daten zu Vergabeverfahren auf, die staatliche Stellen seit März 2019 gemäß Bundesvergabegesetz 2018 über [data.gv.at](http://data.gv.at) veröffentlichen. Die Plattform aggregiert die Daten und bereitet sie auf._x000D_
_x000D_
So kann erstmals nachvollzogen werden, welche Aufträge eine bestimmte staatliche Stelle vergibt, welche Leistungen ein Unternehmen an die öffentliche Hand liefert, und wie hoch das Vergabevolumen für verschiedene Leistungen und Güter ist._x000D_
_x000D_
Hinter dem Projekt steht die Bürgerrechtsorganisation [Forum Informationsfreiheit](https://www.informationsfreiheit.at/), ermöglicht wird die Umsetzung durch eine Unterstützung der [Netidee](https://netidee.at/)._x000D_
_x000D_
Die MacherInnen freuen sich über Feedback und Anregungen an [office@informationsfreiheit.at](mailto:office@informationsfreiheit.at?subject=Feedback offenevergaben.at)_x000D_
_x000D_
Die Plattform ist aktuell noch in einer Beta-Version: Zusätzliche Features, darunter eine Download-Möglichkeit, weitere Filter und Email-Benachrichtigungen, sind in Arbeit, etwaige Bugs werden noch ausgebessert.</t>
  </si>
  <si>
    <t>2024-06-11 06:14:42.062408</t>
  </si>
  <si>
    <t>["e3e38c89-8123-49dc-9e51-40e6c21adfca", "6b4b25ac-b2a1-4d31-9d03-9ddcc8f233e4", "3e0f397b-c53c-426e-8869-b17c884b8868", "9543be56-7309-4788-8de2-fbdd5006282b", "92b15030-20af-4059-b96e-145089887daf", "cb196172-5121-4be7-a5fa-fdd5807ceb48", "54036bbe-cd99-496e-a089-442bc1b6308e", "de87d1ea-e67a-4235-8cb9-a2b8ffc2ca1c", "8df6b76b-a1c8-45a4-ab7b-3ff8676e4b04", "d71e2c4b-a5d0-4a62-aa5a-13d2b49032c4", "7e80bc4b-3537-42fd-881f-d9290b34782e", "753dcaef-bb63-4d16-a9af-8ec6d20d5e49", "9d58be92-32eb-43a7-9f38-dff44078864e", "ef47695d-7aa3-41cf-8c4e-d76aa4dae7d5", "99d2218d-c95c-441b-bdb3-cd12d762391d", "3a520b08-7351-479c-9232-628727066f55", "6bd1abfe-3dbf-4e04-b8cc-07114eb8810c", "39fe6e50-6b93-496f-9339-f5534f67584c", "e5f51f9d-9ddb-4fc7-95a8-ef0d9eb2144d", "39e2a593-d508-4f64-8a04-8d6dbf730f9d", "5e84d2ab-b5ca-48c3-b15f-3d71e4bca4ee", "ca51f4d9-c7dd-4eaa-8a22-0654bea8c763", "7fffba00-9b87-4fb4-8c71-68399d2a4291", "f03909b3-a72a-4769-a06e-35141469ff83", "fd56466b-ced8-47ab-8d1a-9ce798948bad", "bcc6419f-3091-48d7-bd8b-8e440cc8108f", "1d0df1b7-f98f-47a8-9e38-9b4073f01dcc", "76efecc9-e509-4c6b-849b-f742ed3e258a", "02072598-4a39-4390-a43b-add3514cb903", "41a809d9-0b61-4991-86b8-74dc07973af3", "07ab9a18-820d-4621-bc9a-e87067a4aade", "86dd87bd-7426-40c5-946b-62b2af638aab", "009b7802-0b04-4fee-8dac-3922bd5098ae", "505019f6-4c66-4ce4-9700-a5ed3cf664c3", "fde58043-87ff-44b0-b6b0-3d089adfba4c", "23602b0b-c7b0-4f10-9910-7ee5329433bc", "a2c49245-23b2-46e1-acc7-c5a78913a090", "78b227dc-78f6-4085-b4fb-772e040a14e0"]</t>
  </si>
  <si>
    <t>1a76e4df-b7d2-41f7-bf7a-64e89c9081c8</t>
  </si>
  <si>
    <t>thermine-2</t>
  </si>
  <si>
    <t>T'Hermine</t>
  </si>
  <si>
    <t>Die Anwendung nutzt die Daten von Linztermine.at und möchte einen mobilen, raschen und individuell anpassbaren Zugriff geben. Alle Veranstaltungen von Linztermine stehen damit auch unterwegs für eine schnelle und spontane Planung zur Verfügung._x000D_
_x000D_
Durch die weite Verbreitung von Android-Geräten kann die App, unterstützt durch die Hotspot-Initiative, gerade auch für Gäste und Touristen eine Hilfe bei der Suche nach Unterhaltung sein.</t>
  </si>
  <si>
    <t>2024-06-11 06:14:30.960613</t>
  </si>
  <si>
    <t>["dfa2ff35-d2c4-4196-9989-a1bdbeabbfed"]</t>
  </si>
  <si>
    <t>3c681cf7-18aa-4789-b28f-cffff5db3304</t>
  </si>
  <si>
    <t>schwimmpreisrechner-2</t>
  </si>
  <si>
    <t>Schwimmpreisrechner</t>
  </si>
  <si>
    <t>Die Web-App „Schwimmpreisrechner“ zeigt, abhängig vom Standort der Benutzerin oder des Benutzers die nächstgelegenen Schwimmbäder in Wien an. Die Reihung erfolgt nach dem Eintrittspreis. Zu jedem Bad sind neben den Preisinformationen ein Anfahrtsplan und ein Link auf die Webseite eingebunden._x000D_
_x000D_
Die App nutzt die Standorte aus dem Wiener Datensatz [Schwimmbäder Standorte](https://www.data.gv.at/katalog/dataset/898afe8c-0297-45d6-b4b5-0cb9e632094b/)._x000D_
### Verfügbarkeit_x000D_
_x000D_
_x000D_
Die Web-App kann mit jedem (mobilen) Endgerät sinnvoll genutzt werden, das die Übermittlung des eigenen Standorts ermöglicht.</t>
  </si>
  <si>
    <t>2024-06-11 06:14:39.861755</t>
  </si>
  <si>
    <t>["898afe8c-0297-45d6-b4b5-0cb9e632094b"]</t>
  </si>
  <si>
    <t>386ae50b-416a-46ce-ada9-3fbc6cf46dbd</t>
  </si>
  <si>
    <t>wiener-baumdichte-waben</t>
  </si>
  <si>
    <t>Wiener Baumdichte-Waben</t>
  </si>
  <si>
    <t>Durch Aggregation des Wiener Baumkatasters in einem hexagonalen, "wabenförmigen" Raster werden hohe Baumdichten - farblich hervorgehoben - sehr klar erkennbar. So sind beispielsweise der Ring, die Prater-Hauptallee oder das Gänsehäufel gut zu erkennen.</t>
  </si>
  <si>
    <t>2024-06-11 06:14:31.360955</t>
  </si>
  <si>
    <t>["c91a4635-8b7d-43fe-9b27-d95dec8392a7"]</t>
  </si>
  <si>
    <t>4afc7184-1a64-435b-a444-d77e7f4068e1</t>
  </si>
  <si>
    <t>visualisierungen-auf-basis-der-wohnungsdaten</t>
  </si>
  <si>
    <t>Visualisierungen auf Basis der Wohnungsdaten</t>
  </si>
  <si>
    <t>Das Projekt Datamaps.eu erstellt die ersten Visualisierung von Linzer Daten mit Hilfe der Bezirkskarten. Die Stadt Linz stellt Daten zu der Anzahl der Mitwohnungen, der Genossenschaftswohnungen, der Eigentumswohnungen, der Hauseigentümer aufgeschlüsselt nach statistischen Bezirken zur Verfügung. Daraus wurden vier Karten erstellt.</t>
  </si>
  <si>
    <t>2024-06-11 06:14:31.087994</t>
  </si>
  <si>
    <t>["3dc5cf5a-313e-4cd1-af1e-3c4710acae94"]</t>
  </si>
  <si>
    <t>84caf1fc-0046-4047-a43c-97c5532bb21b</t>
  </si>
  <si>
    <t>museen-wien</t>
  </si>
  <si>
    <t>Museen Wien</t>
  </si>
  <si>
    <t>Alle Museen in Wien in einer interaktiven Liste und Karte mit Routenplanung._x000D_
_x000D_
Features_x000D_
* Übersicht zu in der Nähe befindlicher Museen als Liste und in der Karte_x000D_
* laufende Aktualisierung der Entfernungen_x000D_
* geographische Suche via Adresse und Karte_x000D_
* laufende Aktualisierungen der Daten da basierend auf Open Data der Stadt Wien_x000D_
* Routenplanung vom aktuellen Standort per Auto oder zu Fuß_x000D_
_x000D_
_x000D_
 </t>
  </si>
  <si>
    <t>2024-06-11 06:14:32.042548</t>
  </si>
  <si>
    <t>["6f412521-2e9b-44b1-a3e4-8f1358caef63"]</t>
  </si>
  <si>
    <t>860b9e0e-c55b-4ffc-b48e-e1bef231f5cc</t>
  </si>
  <si>
    <t>taxi-wien</t>
  </si>
  <si>
    <t>Taxi Wien</t>
  </si>
  <si>
    <t>Alle Standplätze der Taxis in Wien mit geographischer Suche nach nächstgelegenen Standplätzen.</t>
  </si>
  <si>
    <t>2024-06-11 06:14:31.730486</t>
  </si>
  <si>
    <t>["be2e0197-57b8-4fcf-a144-cb33f7466f3a"]</t>
  </si>
  <si>
    <t>486484ca-e51f-4193-bfd6-e6b17ff7ddd8</t>
  </si>
  <si>
    <t>citybike-wien</t>
  </si>
  <si>
    <t>Citybike Wien</t>
  </si>
  <si>
    <t>Diese App zeigt die Citybike Stationen in Wien auf der Karte an. Die Adressen und weitere Informationen werden durch Tap auf die entsprechende Markierung auf der Karte angezeigt. Die Daten kommen data.wien.gv.at und können vom Hersteller nicht beeinflusst werden.</t>
  </si>
  <si>
    <t>2024-06-11 06:14:31.471665</t>
  </si>
  <si>
    <t>["523ba2e4-8c55-4dde-8acf-39e3621811b0"]</t>
  </si>
  <si>
    <t>3ab25c34-a561-4cfd-b571-072a14ca19db</t>
  </si>
  <si>
    <t>kartenwerkstatt-at</t>
  </si>
  <si>
    <t>Kartenwerkstatt</t>
  </si>
  <si>
    <t>In der Kartenwerkstatt werden Visualisierungen von Rohdaten, unter anderem aus dem Bereich von OGD Wien und OGD Linz, vorgestellt. Die Ergebnisse stehen wieder unter einer Offenen Lizenz zur Verfügung. Ziel der Webseite ist es, verfügbare Daten interessierten Bürgerinnen und Bürgern leichter zugänglich zu machen und anderen Akteuren im Bereich Open Data den Aufbau eigener Dienste zu erleichtern._x000D_
_x000D_
Update Oktober 2021: wie Webseite ist aktuell nicht verfügbar.</t>
  </si>
  <si>
    <t>2024-06-11 06:14:48.626424</t>
  </si>
  <si>
    <t>["0adc90c9-ac6b-47ef-aa83-b7780594720c", "02ad6e25-2698-405f-a37b-99745b1ac69c", "9ee0d2d2-6631-4d5e-a33a-ad0cb9874566"]</t>
  </si>
  <si>
    <t>5ad4393f-88a8-4d7c-ab25-5242f5153793</t>
  </si>
  <si>
    <t>open-data-wien-plan</t>
  </si>
  <si>
    <t>Open Data Wien Plan</t>
  </si>
  <si>
    <t>Die Wienmap bietet eine browserbasierte Online-Karte von Wien. Neben allen ortsbezogenen Inhalten des [Datenkatalogs](http://data.wien.gv.at/katalog/) der Stadt Wien kommen auch die [Basiskarten](http://www.data.gv.at/sucheDetail/?id=fa96d249-2f58-48ce-bb3f-bb18b447ffc8) (Grundkarte, Luftbild und Beschriftung) von OGD Wien zum Einsatz._x000D_
_x000D_
Die Wienmap kann sowohl am Desktop als auch auf mobilen Endgeräten genutzt werden, da das zugrundeliegende Framework "Leaflet" eine jeweils optimierte Darstellung bereitstellt.</t>
  </si>
  <si>
    <t>2024-06-11 06:14:31.025717</t>
  </si>
  <si>
    <t>["332be1f6-5791-43ae-9e37-90cc48e75d24"]</t>
  </si>
  <si>
    <t>8e08a3c9-4d8c-4a3c-ad92-0ad568330905</t>
  </si>
  <si>
    <t>wordpress-plugin-mapsmarker-com</t>
  </si>
  <si>
    <t>Wordpress Plugin Maps Marker Pro</t>
  </si>
  <si>
    <t>Das Plugin für die populäre Weblog-Software Wordpress ermöglicht es, Marker auch auf der Karte der Stadt Wien zu setzen. Die Position von Lieblingsplätzen, Unternehmensstandorten etc. kann per Adresssuche festgelegt werden. Für jeden Marker kann eine Popup-Beschreibung oder ein Bild hinzugefügt werden, zur Symbolisierung stehen hunderte verschiedene Icons bereit. Mehrere Marker können zu Ebenen zusammengefasst werden._x000D_
_x000D_
Über eine einfache Kurznotation können Kartenausschnitte mit Markern bzw. Ebenen in einzelne Artikel oder Seiten im Wordpress-Weblog eingebunden werden. Bei einer Adresse innerhalb Wiens werden automatisch die hochauflösenden Karten der Stadt Wien verwendet. Für Gebiete außerhalb der Stadtgrenzen Wiens ist eine Darstellung über Open Street Map integriert.</t>
  </si>
  <si>
    <t>2024-06-11 06:14:50.728218</t>
  </si>
  <si>
    <t>["332be1f6-5791-43ae-9e37-90cc48e75d24", "146384fc-3f64-4482-a78a-2f082411a27d", "aac2629e-495d-4468-9c8b-cd9649bd7b5d", "2c54f4d6-5712-4e5a-a025-b7f7a396c39b"]</t>
  </si>
  <si>
    <t>f163ee64-6e67-44df-9ff0-542972805c0c</t>
  </si>
  <si>
    <t>visualisierung-der-gemeinderatsprotokolle</t>
  </si>
  <si>
    <t>Visualisierung der Gemeinderatsprotokolle</t>
  </si>
  <si>
    <t>Basierend auf den Wortprotokollen des Linzer Gemeinderates hat Robert Seyfriedsberger eine Tagcloud (die meist genanntesten Wörter werden größer dargestellt oder [auf Wiki nachlesen](http://de.wikipedia.org/wiki/Schlagwortwolke "Link zu Tagcloud auf Wikipedia (Neues Fenster)")) erstellt. Zu sehen gibt es diese Schlagwortwolke, die mit der online Anwendung [wordle.net](http://www.wordle.net/ "Link zu wordle.net (Neues Fenster)") gestaltet wurde.</t>
  </si>
  <si>
    <t>2024-06-11 06:14:50.33665</t>
  </si>
  <si>
    <t>["5160611a-b665-461b-ae93-e5e6ec342166", "48b40fff-ccaa-4708-8db3-bdc3a791bfca"]</t>
  </si>
  <si>
    <t>393e000c-bfee-4025-8ab2-c1df7095d9f0</t>
  </si>
  <si>
    <t>budgetvisualisierung</t>
  </si>
  <si>
    <t>Budgetvisualisierung</t>
  </si>
  <si>
    <t>Die zweite App, die eine Umsetzung mit Open Government Daten der Stadt Wien vornimmt, ist eine Visualisierung von Budgetdaten. Die App nutzt die Daten des Datensatzes "Rechnungsabschluss der Stadt Wien - Ausgabenarten"._x000D_
_x000D_
Durch eine horizontale Bewegung mit dem Mauszeiger wird die Darstellung über den Zeitraum 2003 bis 2009 erschlossen. Die Benutzerinnen und Benutzer können die Verschiebung in den Größenverhältnissen der einzelnen Budgetposten auf intuitive Art und Weise erkennen._x000D_
_x000D_
Der Autor Andreas Koller weist auf den experimentellen Status der Umsetzung hin und lädt andere EntwicklerInnen zur Weiterverwendung des Codes auf._x000D_
### Verfügbarkeit_x000D_
_x000D_
_x000D_
Java-Applet</t>
  </si>
  <si>
    <t>2024-06-11 06:14:40.056699</t>
  </si>
  <si>
    <t>["d25e61cd-2b00-4480-bfcd-64761d7b272e"]</t>
  </si>
  <si>
    <t>97ac80fb-9eab-4263-b4a6-7c78d44d43d7</t>
  </si>
  <si>
    <t>visualisierung-einnahmen-ausgaben-finanzgebarung</t>
  </si>
  <si>
    <t>Visualisierung Einnahmen - Ausgaben (Finanzgebarung)</t>
  </si>
  <si>
    <t>Eine weitere Visualisierung der Budgetdaten von Open Government Data Wien stellt die Finanzgebarung der Stadt Wien im Jahresvergleich dar. Anhand einer Mittelachse werden pro Budgetposten Einnahmen und Ausgaben der Jahre 2006 -2009 gegenübergestellt._x000D_
_x000D_
Der Autor Andreas Koller lädt andere EntwicklerInnen zur Weiterverwendung des Codes auf._x000D_
### Verfügbarkeit_x000D_
_x000D_
_x000D_
Java Applet_x000D_
### Weiterführende Informationen_x000D_
_x000D_
_x000D_
[Interview mit dem Autor Andreas Koller](https://web.archive.org/web/20180127140327/https://futurezone.at/netzpolitik/wiener-budgetdaten-sichtbare-offenheit/24.567.645)</t>
  </si>
  <si>
    <t>2024-06-11 06:14:40.093532</t>
  </si>
  <si>
    <t>["98d14207-6c69-492b-8627-6c329f4a0525", "f9426236-6f1a-4b31-99ab-3dfd71e4c3e9"]</t>
  </si>
  <si>
    <t>25e7398e-1b04-4fc3-b5aa-78c9a5e90fcc</t>
  </si>
  <si>
    <t>interaktive-budgetvisualisierung-mit-google-motion-charts</t>
  </si>
  <si>
    <t>Interaktive Budgetvisualisierung mit Google Motion Charts</t>
  </si>
  <si>
    <t>Diese Anwendung liefert eine interaktive Visualisierung der offenen Daten zum Budget der Stadt Wien. Die Daten zur Finanzgebarung und zum Rechnungsabschluss wurden in ein Google Spreadsheet übernommen und mittels der "Google Motion Charts" animiert. Die durch die Benutzerin oder den Benutzer steuerbaren Animationen zeigen die Entwicklung der Budgetposten im Verlauf der Jahre._x000D_
_x000D_
Die Anwendung nutzt Datensätze zum Wiener Budget.</t>
  </si>
  <si>
    <t>2024-06-11 06:14:40.127726</t>
  </si>
  <si>
    <t>ac21e2b9-d43a-46a8-a24d-d3bf0e05fbb7</t>
  </si>
  <si>
    <t>parken-wien-kurzparkzonen-wien-mit-sms-parkticket</t>
  </si>
  <si>
    <t>Parken Wien - Kurzparkzonen Wien mit SMS Parkticket</t>
  </si>
  <si>
    <t>Parken Wien erkennt anhand der aktuellen Position automatisch, ob Sie sich in einer Kurzparkzone befinden und ob diese im Moment aktiv ist._x000D_
Kostenpflichtige Kurzparkzonen werden rot, kostenlose grün dargestellt._x000D_
Kurzparkscheine können direkt in der App gelöst werden.</t>
  </si>
  <si>
    <t>2024-06-11 06:14:31.395192</t>
  </si>
  <si>
    <t>["6858b208-62bc-424e-9d7b-c89b74d3d3e3", "aa8876c7-9711-4969-b428-34400f2d0dbe"]</t>
  </si>
  <si>
    <t>6caefb81-f23c-4b40-8329-384f10693758</t>
  </si>
  <si>
    <t>oh-jku-app</t>
  </si>
  <si>
    <t>ÖH JKU App</t>
  </si>
  <si>
    <t xml:space="preserve">Die ÖH JKU App stellt für Studierende der Johannes Kepler Universität Linz hilfreiche Informationen mobil und zentral zur Verfügung._x000D_
_x000D_
Funktionen der App_x000D_
* Anzeige von Veranstaltungen an der JKU und im Raum Linz (Quelle: [data.linz.gv.at](https://www.data.gv.at/auftritte/?organisation=stadt-linz))_x000D_
* Zugriff auf Noten, Kurse und Stundenplan aus dem KUSSS (Kepler University Study Support System)_x000D_
* Anzeige der Mensa-Speisepläne_x000D_
* Campusplan mit Raumsuche_x000D_
* News der ÖH Linz_x000D_
* Download des ÖH Couriers_x000D_
* ÖH Infos &amp; Rechte_x000D_
</t>
  </si>
  <si>
    <t>2024-06-11 06:14:43.952994</t>
  </si>
  <si>
    <t>0869a3a7-3a3a-4b45-b173-7e55151e389c</t>
  </si>
  <si>
    <t>ozonwerte-osterreich</t>
  </si>
  <si>
    <t>Ozonwerte Österreich</t>
  </si>
  <si>
    <t>Zeigt für Österreich die letztaktuellen Ozonwerte der ihrer Position am nächsten gelegenen Meßstation an._x000D_
_x000D_
Datenquelle: Umweltbundesamt GmbH - data.umweltbundesamt.at</t>
  </si>
  <si>
    <t>775ffc4d-0bf2-4be8-8055-10bba0cd1a8a</t>
  </si>
  <si>
    <t>visualisierungen-zur-infrastruktur</t>
  </si>
  <si>
    <t>Visualisierungen zur Infrastruktur</t>
  </si>
  <si>
    <t>Der Autor Thomas Kräftner geht mit seinen Visualisierungen zur Infrastruktur der Stadt Wien auf Basis von [mehreren Datensätzen](http://data.wien.gv.at/katalog/) von Open Government Data Fragen nach dem idealen Standort unter bestimmten Gesichtspunkten nach. Für eine ambitionierte Hobbyschwimmerin oder einen ambitionierten Hobbyschwimmer etwa sollte das nächstgelegene Schwimmplatz oder die nächstgelegene Badestelle nie weit entfernt sein._x000D_
Die Visualisierungen der Umkreisentfernungen machen das Infrastrukturangebot der Stadt unter einem bestimmten Aspekt auf einen Blick erkennbar._x000D_
_x000D_
Der Autor bezeichnet die Visualisierungen explizit als "erste Gedanken" und bittet für die Weiterentwicklung um Rückmeldungen zu den bisherigen Überlegungen._x000D_
_x000D_
Die Visualisierungen liegen als Grafiken vor.</t>
  </si>
  <si>
    <t>2024-06-11 06:14:31.153363</t>
  </si>
  <si>
    <t>54546738-b211-452c-a3d7-7f85534df9ff</t>
  </si>
  <si>
    <t>wienguide</t>
  </si>
  <si>
    <t>WienGuide</t>
  </si>
  <si>
    <t>WienGuide bietet nach Kategorien geordnet (Spiel &amp; Sport, Kultur, Hygiene, usw.) die Möglichkeit, sich die Standorte auf einer Karte anzeigen zu lassen, wobei auch der aktuelle Standort sichtbar ist. Weiters lassen sich zu den Standorten die Detailinfos anzeigen.</t>
  </si>
  <si>
    <t>2024-06-11 06:14:31.185277</t>
  </si>
  <si>
    <t>47f67f71-0b6c-4eed-aa9e-dc1f4a0e625d</t>
  </si>
  <si>
    <t>offenerhaushalt-at</t>
  </si>
  <si>
    <t>Offenerhaushalt.at</t>
  </si>
  <si>
    <t>Plattform für offene Haushaltsdaten aus Österreich und deren Visualisierung. Rechnungsabschlüsse öffentlicher Verwaltungen können hier hochgeladen und visualisiert werden.</t>
  </si>
  <si>
    <t>2024-06-11 06:14:32.798327</t>
  </si>
  <si>
    <t>["7861cd5d-e5bf-4d31-9c17-92f348447db2"]</t>
  </si>
  <si>
    <t>3a23400f-1b23-46de-9e54-9cb6fe8ad127</t>
  </si>
  <si>
    <t>florian-und-jessica-muhammed-und-leonie-vornamen-in-wien</t>
  </si>
  <si>
    <t>Florian und Jessica, Muhammed und Leonie: Vornamen in Wien</t>
  </si>
  <si>
    <t>In der Visualisierung werden die häufigst vergebenen Vornamen in Wien der Jahre 2001 bis 2011 dargestellt.</t>
  </si>
  <si>
    <t>2024-06-11 06:14:32.118187</t>
  </si>
  <si>
    <t>["87fc82a0-0042-49c8-b6f9-2602cd3dc17a"]</t>
  </si>
  <si>
    <t>792d3e2c-6837-4ad0-b170-63ce3685fec3</t>
  </si>
  <si>
    <t>buergermeldungen</t>
  </si>
  <si>
    <t>Bürgermeldungen</t>
  </si>
  <si>
    <t>Bürgermeldungen.com ist direkte und schnelle Bürgerkommunikation._x000D_
_x000D_
Mit dem web-basierten Anliegenmanagement-System Bürgermeldungen.com bieten Gemeinden Ihren Bürgern einen direkten Draht zu verantwortlichen Stellen in der Verwaltung. Ob Schlaglöcher, stehende Pfützen bei Regenwetter, behindertenfeindliche Gehsteigkanten, zugewachsene Gehwege und Verkehrsschilder, mangelhafte Bus-Haltestellen, falsch eingesetzte Kanaldeckel oder Schäden an öffentlichen Einrichtungen, die Meldungen werden direkt an die zuständigen Personen weitergeleitet. Der große Vorteil liegt in der schnellen und direkten Bearbeitung der Anliegen, ohne unnötige Umwege._x000D_
_x000D_
Mit der Smartphone App für Android, Windows Phone und iPhone können sie auch einfach unterwegs automatisch Ihren Standort ermitteln lassen und Bilder zu Ihrer Meldung hinzufügen. Für Bürger ist die Anwendung auf der Website &lt;www.buergermeldungen.com&gt; und mithilfe der App kostenlos. Einzige Voraussetzung ist, dass die Teilnahme Ihrer Gemeinde an [Bürgermeldungen.com](http://Bürgermeldungen.com).</t>
  </si>
  <si>
    <t>2024-06-11 06:14:31.249656</t>
  </si>
  <si>
    <t>e6415477-905e-4f45-956d-ff58a4c42d0c</t>
  </si>
  <si>
    <t>der-radfahrbegleiter-fuer-wien</t>
  </si>
  <si>
    <t>Der Radfahrbegleiter für Wien</t>
  </si>
  <si>
    <t>Im Rahmen der Bachelorarbeit mit dem Titel "Open Government Data für die Raumplanung"  wurde die Applikation "Der Radfahrbegleiter für Wien" implementiert, die die OGD der Stadt Wien und die Daten von [openstreetmap.org](http://openstreetmap.org) verbindet._x000D_
_x000D_
Die Applikation ist für Bildschirme mit 1024x768px und mehr konzipiert. Sie kann z.B. dazu verwendet werden, vom PC aus die tägliche Radroute zu optimieren.</t>
  </si>
  <si>
    <t>2024-06-11 06:14:46.564006</t>
  </si>
  <si>
    <t>["2ed52078-7e55-40ea-8036-0d89118a06f4", "699a5a9a-348c-4a46-b99e-a23b59f27721", "523ba2e4-8c55-4dde-8acf-39e3621811b0", "97ef14eb-f280-48a7-96c0-df03859b06c2", "146384fc-3f64-4482-a78a-2f082411a27d", "c5cf2502-7572-4fd1-a836-48b335a2d47d"]</t>
  </si>
  <si>
    <t>cb3cc1fa-61ec-4cb8-aa5c-b101c57ad297</t>
  </si>
  <si>
    <t>wienapp-2</t>
  </si>
  <si>
    <t>WienApp</t>
  </si>
  <si>
    <t>Die WienApp liefert Informationen über öffentliche Dienste, die von der Stadt Wien angeboten werden._x000D_
Diese Dienste beinhalten Bereiche des öffentlichen Transportes, Haltestellen, Citybike- &amp; Taxi Standplätze, Behindertenparkplätze und weitere Standorte des öffentlichen Lebens._x000D_
_x000D_
Alle Daten werden aus dem offiziellen Portal der Stadt Wien via OData abgerufen und mit Bing Maps in der WienApp dargestellt. Es kann zwischen Kartenansicht und Sattelitenansicht umgeschaltet und gezoomt werden. Standorte können beliebig übereinander gelegt werden. Die integrierte Suche zeigt alle gefundenen Orte direkt in der Karte an. Die App benötigt keine Verbindung zum Internet und kann auch offline verwendet werden.</t>
  </si>
  <si>
    <t>2024-06-11 06:14:31.286805</t>
  </si>
  <si>
    <t>["4315e096-f51e-4b56-8235-57be9789a62c", "898afe8c-0297-45d6-b4b5-0cb9e632094b", "be2e0197-57b8-4fcf-a144-cb33f7466f3a", "21fca925-12ac-4215-ba1a-a9c73cb3b082", "523ba2e4-8c55-4dde-8acf-39e3621811b0"]</t>
  </si>
  <si>
    <t>5a7f6929-6be2-4eb4-b678-4221b7da0be2</t>
  </si>
  <si>
    <t>parkhelper-2</t>
  </si>
  <si>
    <t>Parkhelper</t>
  </si>
  <si>
    <t>Der Parkhelper ermöglicht das einfache Einlösen eines Parkscheins mit Hilfe von Sms parking. Weiters beinhaltet er Informationen über Kurzparkzonen in Österreich. Man kann mit dem Parkhelper auch die Position seines Autos speichern, damit man sein Auto auch wieder findet.</t>
  </si>
  <si>
    <t>2024-06-11 06:14:31.327939</t>
  </si>
  <si>
    <t>["6858b208-62bc-424e-9d7b-c89b74d3d3e3"]</t>
  </si>
  <si>
    <t>9b178017-425b-40f5-8809-389b4b821cf1</t>
  </si>
  <si>
    <t>urlaub-in-linz-2</t>
  </si>
  <si>
    <t>Urlaub in Linz</t>
  </si>
  <si>
    <t>Linz für die Hosentasche. Alle wichtigen Informationen in einer App._x000D_
_x000D_
In der liebevoll gestalteten App findet man die wichtigsten Dinge für den Urlaub in Linz. Auf einer handgemalten Karte der Stadt werden Dutzende von Orten markiert. Fast alle Funktionen sind offline verfügbar und benötigen keine Verbindung zum Internet._x000D_
_x000D_
Die App ist in 8 Sprachen verfügbar und wurde in über 90 Ländern herunter geladen.</t>
  </si>
  <si>
    <t>2024-06-11 06:14:39.559536</t>
  </si>
  <si>
    <t>["809eeaf2-c9a6-47cb-a00a-2433222eb132", "53b70911-67ee-459b-a573-130272275a91", "d780bf4f-063e-4c21-bb28-62c8d1d79cdc", "d61ed212-9915-4018-a350-caecfda3e0c6", "b2068d46-de7f-4a22-a563-4dea59b1e6f2", "b77d0b46-306c-46da-b26d-6e4dd718fde7"]</t>
  </si>
  <si>
    <t>e01e8ee7-265f-4e22-85c0-f714056114ae</t>
  </si>
  <si>
    <t>simpleozon</t>
  </si>
  <si>
    <t>simpleOZON</t>
  </si>
  <si>
    <t>Die Webseite visualisiert die Ozonbelastung in Form einer Heatmap. Je nach Zoomlevel werden nähere Informationen zu den Ozonwerten eingeblendet. Ein Klick auf die Messtation (Marker) zeigt den vollen Informationsumfang.</t>
  </si>
  <si>
    <t>2024-06-11 06:14:31.925133</t>
  </si>
  <si>
    <t>19e40c31-6491-439d-93e4-d2c62295e84e</t>
  </si>
  <si>
    <t>parksau-2</t>
  </si>
  <si>
    <t>Parksau</t>
  </si>
  <si>
    <t>Die Parksau bietet übersichtliche Informationen über das Parken in Kurzparkzonen und Einkaufsstraßen. Weiters können per SMS Parkscheine gekauft und verlängert werden._x000D_
_x000D_
Die gebührenpflichtigen Parkzeiten werden auf einer Karte dargestellt. Die eigene Position wird per GPS gefunden und kann falls das GPS zu ungenau ist händisch nachjustiert werden._x000D_
_x000D_
Eine einfach zu bedienende Benutzeroberfläche ermöglicht es per SMS Parkscheine zu kaufen. Auch das verlängern von Parkscheinen ist mit 2 Klicks möglich.</t>
  </si>
  <si>
    <t>2024-06-11 06:14:32.281951</t>
  </si>
  <si>
    <t>["6858b208-62bc-424e-9d7b-c89b74d3d3e3", "aa8876c7-9711-4969-b428-34400f2d0dbe", "8a528b7f-98af-4893-af73-5d5f26d3aa7c", "4315e096-f51e-4b56-8235-57be9789a62c"]</t>
  </si>
  <si>
    <t>d9d44bd5-c1c9-4d70-b180-efee2255fcc5</t>
  </si>
  <si>
    <t>wientaxi-2</t>
  </si>
  <si>
    <t>WienTaxi</t>
  </si>
  <si>
    <t>Diese App zeigt die Taxi Standplätze in Wien auf der Karte an. Die Adressen und weitere Informationen werden durch Tap auf die entsprechende Markierung auf der Karte angezeigt. Die Daten kommen data.wien.gv.at.</t>
  </si>
  <si>
    <t>2024-06-11 06:14:38.957823</t>
  </si>
  <si>
    <t>17e2f683-9146-49b5-9996-56c3f2b850c3</t>
  </si>
  <si>
    <t>fahrschulen-wien</t>
  </si>
  <si>
    <t>Fahrschulen Wien</t>
  </si>
  <si>
    <t>Diese App zeigt die Fahrschulen in Wien auf der Karte an. Die Adressen und weitere Informationen werden durch Tap auf die entsprechende Markierung auf der Karte angezeigt. Die Daten kommen data.wien.gv.at und können vom Hersteller nicht beeinflusst werden.</t>
  </si>
  <si>
    <t>2024-06-11 06:14:31.509928</t>
  </si>
  <si>
    <t>["8e454ce2-435e-4352-962b-1bf4e4303301"]</t>
  </si>
  <si>
    <t>b2cbe12e-d9c7-4867-abe2-188aef9a9939</t>
  </si>
  <si>
    <t>myits-der-intelligente-routenplaner</t>
  </si>
  <si>
    <t>MyITS - Der intelligente Routenplaner</t>
  </si>
  <si>
    <t>Das MyITS System ist ein Routenplaner, der Wege anhand von Benutzer-Bedürfnissen berechnet. Abfragen wie "Gib mir den schnellsten Weg von A nach B, ich möchte jedoch am Weg bei einer Apotheke einkaufen" werden dadurch ermöglicht. In MyITS wird multimodales Routing mit Semantic Web Technologien verbunden. Mit deren Hilfe wird sowohl das Suchvokabular festgelegt, als auch unterschiedlichste Datenquellen integriert._x000D_
_x000D_
Open Data werden mit kommerzielle Daten verknüpft, z.B. Geodaten von Open Government Data Wien, OpenStreetMap und Falter Lokalführer. Dadurch wird ein weites Spektrum an Bedürfnissen abgedeckt. Benutzer von MyITS können nach Kategorien im Umkreis (Umfeld-Suche nach Points-of-Interest einer Kategorie) und mittels Via-Routing (Route über Zwischenziele von Kategorien) suchen.</t>
  </si>
  <si>
    <t>2024-06-11 06:14:46.629183</t>
  </si>
  <si>
    <t>["21fca925-12ac-4215-ba1a-a9c73cb3b082", "8d482810-26da-4bbc-8599-6b1fd1ab8743", "c1ba372b-dba2-4bce-b72e-b5c832eaaf44", "298e6b5a-21a8-4d56-9484-1bac58c94a26", "be2e0197-57b8-4fcf-a144-cb33f7466f3a", "71084c02-973d-4544-b804-7ed82bd53027", "898afe8c-0297-45d6-b4b5-0cb9e632094b", "5d642d09-8e03-4200-a79b-2a397a6d5d51", "87f121a7-eef0-4be9-9372-a5efe5b4d375", "523ba2e4-8c55-4dde-8acf-39e3621811b0", "6f412521-2e9b-44b1-a3e4-8f1358caef63", "826d798e-01d1-48d3-973c-e0e466a63ca8", "2adc5a86-faa3-4b63-acff-a66128b811b7", "7c6e9dbf-487b-4146-a379-19e46642c392", "627a9226-a907-4018-89e3-878002a9d22b", "2d0e9a21-fa5f-441d-948a-fe97a453a827", "b01585af-110f-4f87-9bf1-06805605926c", "146384fc-3f64-4482-a78a-2f082411a27d"]</t>
  </si>
  <si>
    <t>2acdfaec-f710-4f52-a73f-afbedfa45893</t>
  </si>
  <si>
    <t>stadtplan-wien-openlayers-demo</t>
  </si>
  <si>
    <t>Stadtplan Wien OpenLayers Demo</t>
  </si>
  <si>
    <t>Diese Web-Anwendung wird als Beispiel mit der Javascript-Mapping-Bibliothek OpenLayers mitgeliefert. Sie wird als Testapplikation für OpenLayers Verbesserungen verwendet. Sie zeigt anhand des Stadtplans der OGD Wien, wie man einen einfachen Stadtplan mit Anzeige der eigenen Position realisieren kann.</t>
  </si>
  <si>
    <t>2024-06-11 06:14:38.924233</t>
  </si>
  <si>
    <t>["332be1f6-5791-43ae-9e37-90cc48e75d24", "fc21780d-bbb0-4ec9-9cb2-8687fd28ebc2", "711e4d67-8343-4bf1-90e8-de24738becf9"]</t>
  </si>
  <si>
    <t>9cb0ee3e-fca0-4fb8-993a-cb974e1b341c</t>
  </si>
  <si>
    <t>linz-spricht</t>
  </si>
  <si>
    <t>Linz spricht</t>
  </si>
  <si>
    <t>Linz spricht ermöglicht es einen komfortablen und schnellen Überblick in die Gemeinderatsprotolle der Stadt Linz der letzten Jahre zu bekommen. Die einzelnen Teile der Gemeinderatsprotokolle werden detailliert dargestellt._x000D_
_x000D_
Hinweis: Die Android App befindet sich zurzeit noch in Entwicklung wird aber voraussichtlich noch 2012 fertiggestellt.</t>
  </si>
  <si>
    <t>2024-06-11 06:14:31.545247</t>
  </si>
  <si>
    <t>d5de0488-3fee-40a4-b545-3215f606aeaa</t>
  </si>
  <si>
    <t>simplemtb</t>
  </si>
  <si>
    <t>simpleMTB</t>
  </si>
  <si>
    <t>Mountainbike Routen rund um Tirol inkl. Beschreibung, GoogleMaps &amp; OpenStreetMap Visualisierung wie auch KML/GPX download. Die Webseite ist für Desktop, Tablet und Smartphone in der Darstellung und Performance optimiert._x000D_
_x000D_
Hinweis: Die Anwendung ist leider nicht mehr verfügbar - aus Archivgründen bleibt der Eintrag allerdings bestehen.</t>
  </si>
  <si>
    <t>2024-06-11 06:14:48.853116</t>
  </si>
  <si>
    <t>["c8218f47-8ef6-43c6-9f86-3125e317f60e"]</t>
  </si>
  <si>
    <t>11361b19-cda5-45e1-9d25-ec3f2f8b36eb</t>
  </si>
  <si>
    <t>klocator-wien</t>
  </si>
  <si>
    <t>KLocator Wien</t>
  </si>
  <si>
    <t>Diese App zeigt die umliegenden öffentlichen WC-Anlagen auf der Karte in Wien an. Die Adressen und weitere Informationen werden durch Tap auf die entsprechende Markierung auf der Karte angezeigt. Die Daten kommen data.wien.gv.at und können vom Hersteller nicht beeinflusst werden.</t>
  </si>
  <si>
    <t>2024-06-11 06:14:46.530802</t>
  </si>
  <si>
    <t>["146384fc-3f64-4482-a78a-2f082411a27d"]</t>
  </si>
  <si>
    <t>beac2864-e40f-4060-bae8-29f66e6a92fc</t>
  </si>
  <si>
    <t>ogd-wien-preview-and-matcher</t>
  </si>
  <si>
    <t>OGD Wien Preview and Matcher</t>
  </si>
  <si>
    <t>Webapp, welche alle verfügbaren OGD Vienna Daten als Overlay auf einer OSM Karte darstellt. So lässt sich schnell erkennen, welche Punkte bereits in Openstreetmap eingetragen sind und welche nicht._x000D_
Es handelt sich um eine erste Version dieses Tools - unter Umständen wird es noch um weitere Funktionen ergänzt.</t>
  </si>
  <si>
    <t>2024-06-11 06:14:46.595305</t>
  </si>
  <si>
    <t>["8d482810-26da-4bbc-8599-6b1fd1ab8743", "2ed52078-7e55-40ea-8036-0d89118a06f4", "5982a27f-28a4-4f40-a1cc-5cb650400c50", "2d0e9a21-fa5f-441d-948a-fe97a453a827", "3e62e13e-3955-494a-91b3-f00ab9e84b48", "8a528b7f-98af-4893-af73-5d5f26d3aa7c", "716d89ce-b0da-4158-abb6-72f562206b37", "12426052-8803-4deb-8c89-9e78785f7dd2", "ac4c2ac5-6be4-4471-bbf4-f09228f5db04", "10c7b88b-a708-4e17-a7ef-2c1ce0590377", "e7065317-1d57-434a-8428-efa263ecc526", "e4079286-310c-435a-af2d-64604ba9ade5", "6e7bcb81-1b6c-46ca-817a-937d5664735d", "c1ba372b-dba2-4bce-b72e-b5c832eaaf44", "898afe8c-0297-45d6-b4b5-0cb9e632094b", "c7e84d16-449e-4154-a1bd-603b4fae329e", "bd8b518b-d812-46f9-b367-4c1b660cfc99", "71084c02-973d-4544-b804-7ed82bd53027", "ff1480b5-61f2-4008-aada-387c2c490549", "ac478f32-3e3b-4c04-bc7d-aa75069b6367", "5ceed47b-7db0-4958-a893-6d217eb25517", "be2e0197-57b8-4fcf-a144-cb33f7466f3a", "146384fc-3f64-4482-a78a-2f082411a27d", "fd1db6d6-98a5-4c78-bcee-bc57d068ee13", "22add642-d849-48ff-9913-8c7ba2d99b46", "298e6b5a-21a8-4d56-9484-1bac58c94a26", "47c7ffa9-65ba-41d1-9461-4e5458afd62e", "5e6175cd-dc44-4b32-a64a-1ac4239a6e4a", "b2e85e3e-bfba-44c5-b472-3d849e3a3f74", "4111e2d8-1729-4953-899a-c55bc382857e", "2f5baa1f-208c-42c2-8d04-9ea74aa1b229", "455cf48c-cdee-4721-a0ed-cd38af7aff0f", "5f8ecd04-6e84-4ed7-b4d6-3632c5d2b8f4", "6f412521-2e9b-44b1-a3e4-8f1358caef63", "fc725989-5c3e-4bf4-89b1-68caeec4d858", "3284450c-f8cc-439b-b331-ff901a307db6", "f08964c6-5987-43c3-97d8-cb5a4eff0454", "fd544e75-122f-4278-85e7-b9b591d4ceaa", "383408d4-89b8-42df-af53-5c89f91e0cc7", "7b1492ea-72f1-4d79-a5df-2e0e32088ea1", "41e2cda3-d829-43dc-8d59-87e16e8301f6", "28a7419c-f432-4e1a-b0a6-aa9e71968a14", "7035def0-a9df-430a-99ee-6e13de12676c", "87f121a7-eef0-4be9-9372-a5efe5b4d375", "5d642d09-8e03-4200-a79b-2a397a6d5d51", "3ff63cf5-8d04-4be5-9449-96411ae9fc36", "aa8876c7-9711-4969-b428-34400f2d0dbe", "6858b208-62bc-424e-9d7b-c89b74d3d3e3", "a1347e6c-db7d-423d-9b62-de7717129f5b", "54fc7750-8540-4c22-8d46-9a6a2641c41a", "d2c6f6f5-2236-4217-8361-3297b6369979", "97ef14eb-f280-48a7-96c0-df03859b06c2", "8e454ce2-435e-4352-962b-1bf4e4303301", "d9321ccf-d303-4cfb-a24b-32aba49cef81", "8e420764-a913-4eae-8514-9be858fdb9b3", "893e2a5e-78ec-46fa-9e6e-6eec56d7c536", "c694f63c-b49e-4151-bbab-bf1b6f4958ba", "21fca925-12ac-4215-ba1a-a9c73cb3b082", "371f7f97-e7ad-4335-a4f9-0d1ca4daa1ec", "2a747392-a08e-4f3d-aa58-c22b2c9d3a0d", "98908792-f315-4834-9b5e-20fed66cbe5a", "2b1b422a-0235-485b-bd39-da1eff5d69c5", "b8fa7909-7b83-4a1a-badb-264ca39308dd", "2adc5a86-faa3-4b63-acff-a66128b811b7", "a42cbe4f-89f0-42ae-a34d-f2e5db6aa1d2", "826d798e-01d1-48d3-973c-e0e466a63ca8", "de64ade8-5025-40f9-a2e0-15b72797e6a7", "038920bb-8c40-4a30-8d0c-0a29bcd64751", "523ba2e4-8c55-4dde-8acf-39e3621811b0", "96196887-5a20-4e93-a302-72f306f32c9d", "4e8d237b-8bd4-4483-a85d-431784c543b9", "7fcf7f09-12d7-4b06-a183-93c51f940670", "699a5a9a-348c-4a46-b99e-a23b59f27721", "c5cf2502-7572-4fd1-a836-48b335a2d47d", "aac2629e-495d-4468-9c8b-cd9649bd7b5d", "7c6e9dbf-487b-4146-a379-19e46642c392", "a14e57c4-ea1c-4a7a-863a-b874ccf23790", "c91a4635-8b7d-43fe-9b27-d95dec8392a7", "4315e096-f51e-4b56-8235-57be9789a62c", "2ee6b8bf-6292-413c-bb8b-bd22dbb2ad4b"]</t>
  </si>
  <si>
    <t>93a35853-a12e-4b7a-b65c-c0369d005f8d</t>
  </si>
  <si>
    <t>wo-steppt-der-bar-in-wien-heute</t>
  </si>
  <si>
    <t>Wo steppt der Bär in Wien heute?</t>
  </si>
  <si>
    <t>Mit der Webseite "Wo steppt der Bär in Wien heute?" werden aktuelle Events aus der Veranstaltungsdatenbank auf einem Stadtplan angezeigt. Die Daten werden über das OGD-Portal der Stadt Wien zur Verfügung gestellt.</t>
  </si>
  <si>
    <t>2024-06-11 06:14:31.693227</t>
  </si>
  <si>
    <t>["b01585af-110f-4f87-9bf1-06805605926c", "fa96d249-2f58-48ce-bb3f-bb18b447ffc8"]</t>
  </si>
  <si>
    <t>a6989a41-fee5-421b-aa79-51793de1ffbd</t>
  </si>
  <si>
    <t>gackerl-sackerl</t>
  </si>
  <si>
    <t>Gackerl Sackerl</t>
  </si>
  <si>
    <t>Nimm ein Sackerl für mein Gackerl! – Wer kennt diese Kampagne der Stadt Wien nicht?_x000D_
Aber wo befindet sich eigentlich der nächsten Sackerl-Spender? Als Hundebesitzer haben wir uns diese Frage schon öfters selber gestellt. Nachdem die Standorte über das Open Data Angebot der Stadt Wien in elektronisch lesbarer Form bekannt gegeben wurden, entwickelten wir die „Gackerl Sackerl“ App für Android und iPhone Geräte. Die App zeigt ausgehend vom aktuellen Standort die genauen Positionen der umliegenden Sackerl Spender an.</t>
  </si>
  <si>
    <t>2024-06-11 06:14:31.581953</t>
  </si>
  <si>
    <t>["98908792-f315-4834-9b5e-20fed66cbe5a"]</t>
  </si>
  <si>
    <t>82e9b390-6da9-4540-b98b-07faf072a30e</t>
  </si>
  <si>
    <t>crowdranking-2</t>
  </si>
  <si>
    <t>crowdranking</t>
  </si>
  <si>
    <t>crowdranking ist ein soziales Netzwerk aus Österreich für Rankings.</t>
  </si>
  <si>
    <t>2024-06-11 06:14:32.150135</t>
  </si>
  <si>
    <t>["8e454ce2-435e-4352-962b-1bf4e4303301", "898afe8c-0297-45d6-b4b5-0cb9e632094b", "bf902d04-f6c9-438e-aec1-1a762c50614b", "39f5a085-5209-4d78-9b8b-dc6e1e79e1ea"]</t>
  </si>
  <si>
    <t>c8677233-a19b-471f-99a7-a51f19ddbd21</t>
  </si>
  <si>
    <t>eventphant-events-finden</t>
  </si>
  <si>
    <t>Eventphant - Events finden</t>
  </si>
  <si>
    <t>Eventphant verbindet Menschen mit Events und Events mit Menschen!_x000D_
_x000D_
Eventphant ist eine Suchmaschine für Events. Eventphant zeigt alle Events in der Umgebung an, inklusive Vorschlägen von Freunden, und zwar so einfach wie möglich. Bei Interesse an einem speziellen Event verweist Eventphant auf die originale Webseite und erhöht dadurch deren Publikum.</t>
  </si>
  <si>
    <t>2024-06-11 06:14:31.653321</t>
  </si>
  <si>
    <t>["b01585af-110f-4f87-9bf1-06805605926c"]</t>
  </si>
  <si>
    <t>752d0730-cee5-4e37-a22f-2bca939aa427</t>
  </si>
  <si>
    <t>wien-punktgenau</t>
  </si>
  <si>
    <t>Wien Punktgenau</t>
  </si>
  <si>
    <t>Diese browserbasierte Karte stellt neben den Grundkarten (Straßenkarte, Satellit und Flächenwidmungsplan) auch viele andere Daten aus dem Datenkatalog der Stadt Wien bereit. Die Daten werden entweder als Rastergrafik oder als anklickbare Vektorgrafik dargestellt. So können zusätzliche Informationen zu den einzelnen Datensätzen angezeigt werden._x000D_
_x000D_
Außerdem wird die derzeitige Ansicht in der URL zur einfachen Weitergabe gespeichert.</t>
  </si>
  <si>
    <t>2024-06-11 06:14:31.958063</t>
  </si>
  <si>
    <t>["332be1f6-5791-43ae-9e37-90cc48e75d24", "0adc90c9-ac6b-47ef-aa83-b7780594720c", "711e4d67-8343-4bf1-90e8-de24738becf9", "a14e57c4-ea1c-4a7a-863a-b874ccf23790", "c91a4635-8b7d-43fe-9b27-d95dec8392a7", "21fca925-12ac-4215-ba1a-a9c73cb3b082", "2a747392-a08e-4f3d-aa58-c22b2c9d3a0d", "6858b208-62bc-424e-9d7b-c89b74d3d3e3", "627a9226-a907-4018-89e3-878002a9d22b", "6e7bcb81-1b6c-46ca-817a-937d5664735d", "2f5baa1f-208c-42c2-8d04-9ea74aa1b229", "ac478f32-3e3b-4c04-bc7d-aa75069b6367", "5ceed47b-7db0-4958-a893-6d217eb25517", "2d0e9a21-fa5f-441d-948a-fe97a453a827", "5982a27f-28a4-4f40-a1cc-5cb650400c50", "ac4c2ac5-6be4-4471-bbf4-f09228f5db04", "10c7b88b-a708-4e17-a7ef-2c1ce0590377", "e4079286-310c-435a-af2d-64604ba9ade5"]</t>
  </si>
  <si>
    <t>7131ae60-5485-4d19-bd99-6c60608228ee</t>
  </si>
  <si>
    <t>geografische-suche-im-online-katalog-der-gba</t>
  </si>
  <si>
    <t>Geografische Suche im Online-Katalog der GBA</t>
  </si>
  <si>
    <t>Die Webapplikation „geografische Suche nach Literatur im Online-Katalog der GBA-Bibliothek“ ermöglicht durch Eingabe eines beliebigen geografischen Namens weltweit in einer beliebigen Sprache, die Abfrage des Bibliotheksservices der Geologischen Bundesanstalt. Dabei werden auch alle Ortsbezeichnungen auf Grundlage von GeoNames.org in einem definierten Umkreis in sämtlichen verfügbaren Sprachen und Schreibweisen geprüft.</t>
  </si>
  <si>
    <t>2024-06-11 06:14:32.50691</t>
  </si>
  <si>
    <t>["78b906a0-1e2e-4176-9a74-6be3587fde6d"]</t>
  </si>
  <si>
    <t>51f3e07b-ba2a-4b68-8580-77cc2e5fdb25</t>
  </si>
  <si>
    <t>parken-in-graz-2</t>
  </si>
  <si>
    <t>Parken in Graz</t>
  </si>
  <si>
    <t>Parken und Park+Ride in Graz bietet Ihnen die Möglichkeit Parkgaragen und Park+Ride Plätze in Graz, Österreich, leicht zu finden.</t>
  </si>
  <si>
    <t>2024-06-11 06:14:32.351892</t>
  </si>
  <si>
    <t>["74358c31-1607-41ff-bf02-a4b171e3a40d", "92183c55-442b-405d-9046-d19b07ffc83a"]</t>
  </si>
  <si>
    <t>106d405b-3e41-4f96-bcdc-f8c3220341a6</t>
  </si>
  <si>
    <t>kunst-im-oeffentlichen-raum-in-wien</t>
  </si>
  <si>
    <t>Kunst im öffentlichen Raum in Wien</t>
  </si>
  <si>
    <t>Kunst im öffentlichen Raum in Wien. Alle Standorte von Denkmälern, Kleindenkmälern, Gedenktafeln und Brunnen in Wien._x000D_
_x000D_
Features_x000D_
* laufende Aktualisierung der Entfernungen zu den einzelnen Kunstobjekten in der Liste und in der Karte_x000D_
* Integration der Routenplanung und Navigation von iOS_x000D_
* geographische Suche_x000D_
* Detailinformationen zu jedem Kunstobjekt_x000D_
* alle Objekte als Liste sortiert nach Entfernung und auf der Wien-Karte_x000D_
* basierend auf Open Data von Wien_x000D_
_x000D_
_x000D_
 </t>
  </si>
  <si>
    <t>2024-06-11 06:14:31.847418</t>
  </si>
  <si>
    <t>["3ff63cf5-8d04-4be5-9449-96411ae9fc36"]</t>
  </si>
  <si>
    <t>5475cd07-baa7-40d3-a762-8c6ead32ab36</t>
  </si>
  <si>
    <t>burgen-und-schloesser-in-wien</t>
  </si>
  <si>
    <t>Burgen und Schlösser in Wien</t>
  </si>
  <si>
    <t xml:space="preserve">Alle Burgen und Schlösser in Wien._x000D_
_x000D_
Funktionen_x000D_
* nach aktueller Entfernung sortierte Liste aller Burgen und Schlösser_x000D_
* laufende Aktualisierung des aktuellen Abstandes zu den einzelnen Burgen und Schlössern_x000D_
* geographische Suche basierend auf Adressen_x000D_
* detaillierte Informationen für jede Burg und Schloss in Wien_x000D_
* Erinnerungsfunktion, wenn man sich in der Nähe befindet_x000D_
* Integration von Maps und Navigation von iOS_x000D_
* basierend auf Open Data Wien_x000D_
</t>
  </si>
  <si>
    <t>2024-06-11 06:14:32.216626</t>
  </si>
  <si>
    <t>["a42cbe4f-89f0-42ae-a34d-f2e5db6aa1d2"]</t>
  </si>
  <si>
    <t>42f2327e-5bf3-4b9c-bcac-9aee18638037</t>
  </si>
  <si>
    <t>polizeiinspektionen-in-wien</t>
  </si>
  <si>
    <t>Polizeiinspektionen in Wien</t>
  </si>
  <si>
    <t xml:space="preserve">Alle Polizeistationen (Polizeiinspektionen in den Bezirken und Stadtpolizeikommandos) von Wien in einer interaktiven Liste und Karte mit Routenplanung._x000D_
_x000D_
Features_x000D_
* Übersicht zu in der Nähe befindlicher Polizeistationen als Liste und in der Karte_x000D_
* laufende Aktualisierung der Entfernungen_x000D_
* geographische Suche via Adresse und Karte_x000D_
* laufende Aktualisierungen der Daten da basierend auf Open Data der Stadt Wien_x000D_
* Routenplanung vom aktuellen Standort per Auto oder zu Fuß_x000D_
</t>
  </si>
  <si>
    <t>2024-06-11 06:14:31.887906</t>
  </si>
  <si>
    <t>["298e6b5a-21a8-4d56-9484-1bac58c94a26"]</t>
  </si>
  <si>
    <t>a2c9937d-5717-42d2-b460-8084254cf485</t>
  </si>
  <si>
    <t>parkscheine-in-wien</t>
  </si>
  <si>
    <t>Parkscheine in Wien</t>
  </si>
  <si>
    <t>Alle Parkschein-Verkaufsstellen in Wien in einer interaktiven Liste und Karte mit Routenplanung._x000D_
_x000D_
Features_x000D_
* Übersicht zu in der Nähe befindlicher Verkaufsstellen als Liste und in der Karte_x000D_
* laufende Aktualisierung der Entfernungen_x000D_
* geographische Suche via Adresse und Karte_x000D_
* laufende Aktualisierungen der Daten da basierend auf Open Data der Stadt Wien_x000D_
* Routenplanung vom aktuellen Standort per Auto oder zu Fuß_x000D_
_x000D_
_x000D_
 </t>
  </si>
  <si>
    <t>2024-06-11 06:14:32.000112</t>
  </si>
  <si>
    <t>["8a528b7f-98af-4893-af73-5d5f26d3aa7c"]</t>
  </si>
  <si>
    <t>c56e3eaf-6429-41c5-aa89-ae6be848743e</t>
  </si>
  <si>
    <t>48er-app</t>
  </si>
  <si>
    <t>48er-App</t>
  </si>
  <si>
    <t>Die 48er-App bietet die wichtigsten Informationen zur Entsorgung von Abfällen in Wien. Die Standorte der Abteilung [Abfallwirtschaft, Straßenreinigung und Fuhrpark](http://www.wien.gv.at/umwelt/ma48/index.html) (MA 48) können bequem auf dem Stadtplan angezeigt werden. Ein Kalender informiert über die nächsten Sammeltermine der mobilen Problemstoffsammlung oder über kommende Veranstaltungen der 48er. Das [Mist-ABC](http://www.wien.gv.at/umwelt/ma48/beratung/muelltrennung/mistabc.html), aktuelle Nachrichten und der einfache Kontakt zur MA 48 runden das Angebot ab._x000D_
_x000D_
Die App greift direkt auf [Open Government Data Wien (OGD)](http://www.data.gv.at/auftritte/stadt-wien/ "Defis in Wien") und die Inhalte von [wien.at](http://www.wien.gv.at/) zu, wodurch sie immer am aktuellsten Stand ist.</t>
  </si>
  <si>
    <t>2024-06-11 06:14:47.445497</t>
  </si>
  <si>
    <t>["98908792-f315-4834-9b5e-20fed66cbe5a", "146384fc-3f64-4482-a78a-2f082411a27d", "d2c6f6f5-2236-4217-8361-3297b6369979", "54fc7750-8540-4c22-8d46-9a6a2641c41a", "8d482810-26da-4bbc-8599-6b1fd1ab8743", "038920bb-8c40-4a30-8d0c-0a29bcd64751"]</t>
  </si>
  <si>
    <t>d10a9bde-6afb-4277-a235-7be9f7573f97</t>
  </si>
  <si>
    <t>import-baumkataster-wien-in-open-street-map</t>
  </si>
  <si>
    <t>Import Baumkataster Wien in Open Street Map</t>
  </si>
  <si>
    <t>Der Baumkataster aus dem OGD-Katalog der Stadt Wien wurde in Open Street Map importiert. Die zugehörigen Attribute (Baumhöhe, Baumart, etc ...) wurden in das Open Street Map Schema umgerechnet und ebenfalls eingetragen.</t>
  </si>
  <si>
    <t>2024-06-11 06:14:32.182451</t>
  </si>
  <si>
    <t>59e722b4-ef95-4887-9c08-42742082d147</t>
  </si>
  <si>
    <t>natur-in-wien-2</t>
  </si>
  <si>
    <t>Natur in Wien</t>
  </si>
  <si>
    <t xml:space="preserve">Beschreibung: Alle Plätze mit Naturdenkmälern in Wien._x000D_
_x000D_
Funktionen_x000D_
* laufende Aktualisierung des aktuellen Abstandes zu den einzelnen Naturdenkmälern_x000D_
* Integration von Maps und Navigation von iOS_x000D_
* geographische Suche basierend auf Adressen_x000D_
* detaillierte Informationen für jedes Naturdenkmal in Wien_x000D_
* alle Naturdenkmäler geordnet nach aktueller Entfernung_x000D_
* basierend auf Open Data Wien_x000D_
</t>
  </si>
  <si>
    <t>2024-06-11 06:14:32.248049</t>
  </si>
  <si>
    <t>["383408d4-89b8-42df-af53-5c89f91e0cc7"]</t>
  </si>
  <si>
    <t>b7c86231-17e2-4e0b-bd56-0120df2fbd08</t>
  </si>
  <si>
    <t>immo-focus-wien</t>
  </si>
  <si>
    <t>Immo-Focus-Wien</t>
  </si>
  <si>
    <t>*Immo-Focus-Wien wurde eingestellt.*_x000D_
_x000D_
Immo-Focus-Wien war ein Dienst für Immobilienmakler, um ein individuelles Exposé zur Umgebung ihres Objektes zu erstellen._x000D_
_x000D_
Die Exposés wurden in Echtzeit aus den Webdiensten Open Government Data (OGD) Wien (data.wien.gv.at) erstellt._x000D_
_x000D_
Zusätzliche Informationen und Points of Interest (POIs), die in OGD Wien nicht vorhanden sind, wurden aus der freien Strassenkarte OpenStreetMap ergänzt.</t>
  </si>
  <si>
    <t>2024-06-11 06:14:42.719829</t>
  </si>
  <si>
    <t>["aab0a0be-89e6-442e-8cf9-e762bd18f76b", "47c7ffa9-65ba-41d1-9461-4e5458afd62e", "383408d4-89b8-42df-af53-5c89f91e0cc7", "fc21780d-bbb0-4ec9-9cb2-8687fd28ebc2", "f0335765-1ab0-4e94-ab38-f404de4c3b4d", "f4e80988-c139-4953-8176-b3d6d03f6449", "72fbf32e-c8c3-4914-92a1-66dc2439a114", "c6fc4688-1aca-4363-bd1a-8d14ea08d2f8", "5983a1bb-62b6-4e26-afd0-dc234b34cf4b", "71a6ca86-228a-4b57-b1bc-c3b887dd009e", "e257875b-1424-4709-84e9-5ddd8c43ce41", "711e4d67-8343-4bf1-90e8-de24738becf9", "332be1f6-5791-43ae-9e37-90cc48e75d24", "aa8876c7-9711-4969-b428-34400f2d0dbe", "4315e096-f51e-4b56-8235-57be9789a62c", "6858b208-62bc-424e-9d7b-c89b74d3d3e3", "21fca925-12ac-4215-ba1a-a9c73cb3b082", "298e6b5a-21a8-4d56-9484-1bac58c94a26", "e7065317-1d57-434a-8428-efa263ecc526", "716d89ce-b0da-4158-abb6-72f562206b37", "3e62e13e-3955-494a-91b3-f00ab9e84b48", "2ed52078-7e55-40ea-8036-0d89118a06f4", "bd8b518b-d812-46f9-b367-4c1b660cfc99", "be2e0197-57b8-4fcf-a144-cb33f7466f3a", "ff1480b5-61f2-4008-aada-387c2c490549", "71084c02-973d-4544-b804-7ed82bd53027", "898afe8c-0297-45d6-b4b5-0cb9e632094b", "c1ba372b-dba2-4bce-b72e-b5c832eaaf44", "54fc7750-8540-4c22-8d46-9a6a2641c41a", "5d642d09-8e03-4200-a79b-2a397a6d5d51", "87f121a7-eef0-4be9-9372-a5efe5b4d375", "8d482810-26da-4bbc-8599-6b1fd1ab8743", "97ef14eb-f280-48a7-96c0-df03859b06c2", "96196887-5a20-4e93-a302-72f306f32c9d", "523ba2e4-8c55-4dde-8acf-39e3621811b0", "7fcf7f09-12d7-4b06-a183-93c51f940670", "6f412521-2e9b-44b1-a3e4-8f1358caef63", "5f8ecd04-6e84-4ed7-b4d6-3632c5d2b8f4", "d2c6f6f5-2236-4217-8361-3297b6369979", "826d798e-01d1-48d3-973c-e0e466a63ca8", "a42cbe4f-89f0-42ae-a34d-f2e5db6aa1d2", "2adc5a86-faa3-4b63-acff-a66128b811b7", "7c6e9dbf-487b-4146-a379-19e46642c392", "fc725989-5c3e-4bf4-89b1-68caeec4d858", "2ee6b8bf-6292-413c-bb8b-bd22dbb2ad4b", "22add642-d849-48ff-9913-8c7ba2d99b46", "8a528b7f-98af-4893-af73-5d5f26d3aa7c", "5982a27f-28a4-4f40-a1cc-5cb650400c50", "2d0e9a21-fa5f-441d-948a-fe97a453a827", "98908792-f315-4834-9b5e-20fed66cbe5a", "3ff63cf5-8d04-4be5-9449-96411ae9fc36", "8e420764-a913-4eae-8514-9be858fdb9b3", "28a7419c-f432-4e1a-b0a6-aa9e71968a14", "02ad6e25-2698-405f-a37b-99745b1ac69c", "fa96d249-2f58-48ce-bb3f-bb18b447ffc8", "45a55c97-2122-42a6-823d-f374f1a8bd48", "770f9237-9a7f-45e4-9647-aacf35ddee06"]</t>
  </si>
  <si>
    <t>153865b8-867c-4c2d-b7b9-2a24e4d144dd</t>
  </si>
  <si>
    <t>ambulanzen-in-wien</t>
  </si>
  <si>
    <t>Ambulanzen in Wien</t>
  </si>
  <si>
    <t xml:space="preserve">Alle Ambulanzen in Wien mit Bezeichnung, Adresse, Telefon und Webseite basierend auf Open Data der Stadt Wien._x000D_
_x000D_
Features_x000D_
* Immer aktuelle Daten verfügbar vom Open Data Server der Stadt Wien_x000D_
* Volltextsuche nach allen Ambulanzen_x000D_
* Detailansicht mit Adresse, Telefon und Weblink_x000D_
* Navigation und Routenplanung zur jeweiligen Ambulanz_x000D_
* Liste aller Wiener Krankenhäuser und deren jeweiliger Ambulanzen_x000D_
* Notrufnummern für Rettung, Bergrettung, Vergiftungszentrale im AKH Wien und Ärztenotdienst_x000D_
</t>
  </si>
  <si>
    <t>2024-06-11 06:14:40.85361</t>
  </si>
  <si>
    <t>["7fcf7f09-12d7-4b06-a183-93c51f940670"]</t>
  </si>
  <si>
    <t>47c31295-344f-458c-a0ba-9b37b1932226</t>
  </si>
  <si>
    <t>ogd-austria-suche</t>
  </si>
  <si>
    <t>OGD Austria Suche</t>
  </si>
  <si>
    <t>Suchen Sie im Katalog der offenen Daten Österreichs http://data.gv.at und bleiben Sie stets über Neuigkeiten und Änderungen an Datensätzen informiert. Mittels Live Tiles werden auch am Startschirm die aktuellen Neuigkeiten dargestellt._x000D_
_x000D_
Vorstellung der App am WindowsBlog unter &lt;http://windowsblog.at/post.aspx?id=56732fb5-1f41-4c80-a100-dbedbfcc40f4&gt;</t>
  </si>
  <si>
    <t>2024-06-11 06:14:32.317314</t>
  </si>
  <si>
    <t>9f902cd0-50a1-4cc8-bb66-d7542e732b7f</t>
  </si>
  <si>
    <t>izy-linz</t>
  </si>
  <si>
    <t>IZY Linz</t>
  </si>
  <si>
    <t xml:space="preserve"> IZY Linz stellt dir Standorte von interessanten Punkten in und um Linz zur Verfügung. Das gehören zum Beispiel Standorte von Apotheken, Finanzämtern, Kindergärten, Jugendzentren und Spiel- und Sportanlagen. </t>
  </si>
  <si>
    <t>2024-06-11 06:14:39.591056</t>
  </si>
  <si>
    <t>["8b3b3cdf-2be6-4f0b-8c86-f6be67e5b002", "f5afc0ab-3203-4384-9d00-03fced6fe7b4", "b77d0b46-306c-46da-b26d-6e4dd718fde7", "46825ece-d165-4b64-bea7-8964b8afdfe3", "e34d45e3-070b-44e7-9a65-7c268fa79fc7", "53b70911-67ee-459b-a573-130272275a91", "f35b2a10-4d8b-40f3-9eb7-15d84c2f7f58", "a7bfaed4-c1df-4448-894b-8effdfaed52d", "b2068d46-de7f-4a22-a563-4dea59b1e6f2", "1ac8b693-987f-47bd-ac7b-f432b01a04a3", "c6bbfc6f-6700-40eb-9537-ab182075c8f8", "d61ed212-9915-4018-a350-caecfda3e0c6", "d780bf4f-063e-4c21-bb28-62c8d1d79cdc"]</t>
  </si>
  <si>
    <t>fff68f2f-ba5b-4d21-8212-a9b4d2eb23f8</t>
  </si>
  <si>
    <t>polizei-wien-windows-phone-app</t>
  </si>
  <si>
    <t>Polizei Wien - Windows Phone App</t>
  </si>
  <si>
    <t>Die App für Windows Phone Endgeräte zeigt die [Polizeidienststellen](https://www.data.gv.at/katalog/dataset/298e6b5a-21a8-4d56-9484-1bac58c94a26/) in Wien in Listen- oder Kartendarstellung an. Der Standort der Benutzerin beziehungsweise des Benutzers kann dabei berücksichtigt werden._x000D_
### Verfügbarkeit_x000D_
_x000D_
_x000D_
Die Anwendung erfordert Windows Phone 7.5 oder höher.</t>
  </si>
  <si>
    <t>2024-06-11 06:14:39.831162</t>
  </si>
  <si>
    <t>dee3adef-9382-4109-a92c-2a4f8001c73d</t>
  </si>
  <si>
    <t>kurzparkzonen-wien-iphone-app</t>
  </si>
  <si>
    <t>Kurzparkzonen Wien - iPhone App</t>
  </si>
  <si>
    <t>Die App für iPhone und iPad zeigt die flächendeckenden Kurzparkzonen in Wien auf einer Karte an. Die aktuelle Position der Benutzerin bzw. des Benutzers kann eingeblendet werden. Pro Bezirk kann die Parkdauer abgefragt werden. Die App nutzt die Inhalte aus dem Wiener Datensatz [Kurzparkzonen](https://www.data.gv.at/katalog/dataset/6858b208-62bc-424e-9d7b-c89b74d3d3e3/)._x000D_
### Verfügbarkeit_x000D_
_x000D_
_x000D_
Die App ist für iPhone, iPad und iPod touch verfügbar. Erfordert iOs 4.0 oder neuer.</t>
  </si>
  <si>
    <t>2024-06-11 06:14:39.764763</t>
  </si>
  <si>
    <t>c7c36e95-1f2b-4547-8711-03e1e6c37adb</t>
  </si>
  <si>
    <t>izy-wien-2</t>
  </si>
  <si>
    <t>IZY Wien</t>
  </si>
  <si>
    <t xml:space="preserve"> IZY Wien stellt dir mehr als 25.000 Locations in und um Wien zur Verfügung, zum Beispiel Badestellen, Behindertenparkplätze, Bürgerdienststellen, Citybike Standorte, Defibrillatoren, Haltestellen der Wiener Linien, öffentliche Kunstwerke, Museen und Sammlungen, Öffentliche WC Anlagen, Schwimmbäder, Taxi Standplätze und Wiener Märkte. </t>
  </si>
  <si>
    <t>2024-06-11 06:14:46.660702</t>
  </si>
  <si>
    <t>["146384fc-3f64-4482-a78a-2f082411a27d", "f5afc0ab-3203-4384-9d00-03fced6fe7b4", "8b3b3cdf-2be6-4f0b-8c86-f6be67e5b002", "4315e096-f51e-4b56-8235-57be9789a62c", "21fca925-12ac-4215-ba1a-a9c73cb3b082", "298e6b5a-21a8-4d56-9484-1bac58c94a26", "aac2629e-495d-4468-9c8b-cd9649bd7b5d", "e7065317-1d57-434a-8428-efa263ecc526", "716d89ce-b0da-4158-abb6-72f562206b37", "3e62e13e-3955-494a-91b3-f00ab9e84b48", "2ed52078-7e55-40ea-8036-0d89118a06f4", "bd8b518b-d812-46f9-b367-4c1b660cfc99", "be2e0197-57b8-4fcf-a144-cb33f7466f3a", "71084c02-973d-4544-b804-7ed82bd53027", "c7e84d16-449e-4154-a1bd-603b4fae329e", "898afe8c-0297-45d6-b4b5-0cb9e632094b", "c1ba372b-dba2-4bce-b72e-b5c832eaaf44", "5e6175cd-dc44-4b32-a64a-1ac4239a6e4a", "47c7ffa9-65ba-41d1-9461-4e5458afd62e", "383408d4-89b8-42df-af53-5c89f91e0cc7", "54fc7750-8540-4c22-8d46-9a6a2641c41a", "5d642d09-8e03-4200-a79b-2a397a6d5d51", "87f121a7-eef0-4be9-9372-a5efe5b4d375", "7035def0-a9df-430a-99ee-6e13de12676c", "8d482810-26da-4bbc-8599-6b1fd1ab8743", "c5cf2502-7572-4fd1-a836-48b335a2d47d", "699a5a9a-348c-4a46-b99e-a23b59f27721", "d9321ccf-d303-4cfb-a24b-32aba49cef81", "97ef14eb-f280-48a7-96c0-df03859b06c2", "96196887-5a20-4e93-a302-72f306f32c9d", "523ba2e4-8c55-4dde-8acf-39e3621811b0", "7fcf7f09-12d7-4b06-a183-93c51f940670", "6f412521-2e9b-44b1-a3e4-8f1358caef63", "5f8ecd04-6e84-4ed7-b4d6-3632c5d2b8f4", "455cf48c-cdee-4721-a0ed-cd38af7aff0f", "d2c6f6f5-2236-4217-8361-3297b6369979", "de64ade8-5025-40f9-a2e0-15b72797e6a7", "826d798e-01d1-48d3-973c-e0e466a63ca8", "a42cbe4f-89f0-42ae-a34d-f2e5db6aa1d2", "2adc5a86-faa3-4b63-acff-a66128b811b7", "7c6e9dbf-487b-4146-a379-19e46642c392", "fc725989-5c3e-4bf4-89b1-68caeec4d858", "038920bb-8c40-4a30-8d0c-0a29bcd64751", "627a9226-a907-4018-89e3-878002a9d22b", "8a528b7f-98af-4893-af73-5d5f26d3aa7c", "8e454ce2-435e-4352-962b-1bf4e4303301", "12426052-8803-4deb-8c89-9e78785f7dd2", "98908792-f315-4834-9b5e-20fed66cbe5a", "3ff63cf5-8d04-4be5-9449-96411ae9fc36", "8e420764-a913-4eae-8514-9be858fdb9b3", "28a7419c-f432-4e1a-b0a6-aa9e71968a14"]</t>
  </si>
  <si>
    <t>a80522c7-fbe5-482b-a010-429b004b78cd</t>
  </si>
  <si>
    <t>behindertenparkplatze-in-graz</t>
  </si>
  <si>
    <t>Behindertenparkplätze in Graz</t>
  </si>
  <si>
    <t>Eine Darstellung aller Behindertenparkplätze in Graz auf Google Maps.</t>
  </si>
  <si>
    <t>2024-06-11 06:14:33.264617</t>
  </si>
  <si>
    <t>["44d6c71e-d956-41f9-ada6-d31b7793236f"]</t>
  </si>
  <si>
    <t>61446844-9d56-49bb-a194-bf3ae3131375</t>
  </si>
  <si>
    <t>problemstoffsammelstellen-in-graz</t>
  </si>
  <si>
    <t>Problemstoffsammelstellen in Graz</t>
  </si>
  <si>
    <t>Darstellung sämtlicher Problemstoffsammelstellen auf Google Maps.</t>
  </si>
  <si>
    <t>2024-06-11 06:14:33.298019</t>
  </si>
  <si>
    <t>["5fabbf7c-75b0-45c3-b85d-b7e3f37c4b31"]</t>
  </si>
  <si>
    <t>4a468e1d-c31a-4d49-ab09-ebef53d85bd2</t>
  </si>
  <si>
    <t>kurz-parken-wien</t>
  </si>
  <si>
    <t>Kurz Parken? - Wien</t>
  </si>
  <si>
    <t>Die App dient dazu, die Parkzeiten ausgewählter Bezirke oder Zonen anzuzeigen. Über die Standort-Abfrage wird angezeigt, ob man sich innerhalb einer Kurzparkzone befindet. Die Daten werden bei jedem Start auf Aktualität geprüft und gegebenenfalls mit den Daten aus dem OGD-Katalog der Stadt Wien synchronisiert._x000D_
_x000D_
"Kurzparkzonen Wien" benötigt Internet-Zugriff, damit die Kurzparkzonen-Daten synchronisiert und heruntergeladen werden können.</t>
  </si>
  <si>
    <t>2024-06-11 06:14:32.537718</t>
  </si>
  <si>
    <t>["6858b208-62bc-424e-9d7b-c89b74d3d3e3", "aa8876c7-9711-4969-b428-34400f2d0dbe", "4111e2d8-1729-4953-899a-c55bc382857e"]</t>
  </si>
  <si>
    <t>bc751a5b-385a-4ef8-a0c6-5937c4139066</t>
  </si>
  <si>
    <t>doris-2</t>
  </si>
  <si>
    <t>DORIS</t>
  </si>
  <si>
    <t>Die umfangreichen Landkartensammlungen aus dem "Digitalen Oberösterreichischen Raum-Informations-System" des Landes Oberösterreich, kurz DORIS genannt, sollen damit auch auf unterschiedlichen mobilen Endgeräten nutzbar gemacht werden können. Sowohl Apps als auch das Kartenmaterial sollen gratis verwendet werden können.</t>
  </si>
  <si>
    <t>2024-06-11 06:14:32.571104</t>
  </si>
  <si>
    <t>["2c54f4d6-5712-4e5a-a025-b7f7a396c39b"]</t>
  </si>
  <si>
    <t>3a3d5799-48f4-48f4-9839-72a1a5bf24ce</t>
  </si>
  <si>
    <t>vienna-finder</t>
  </si>
  <si>
    <t>Vienna Finder</t>
  </si>
  <si>
    <t>Die iPhone App von vienna.at beinhaltet den Vienna Finder, der je nach Position die nächstgelegenen Standorte sucht._x000D_
_x000D_
Der Vienna Finder steht ebenfalls den Userinnen und Usern der mobilen Version von [vienna.at](http://vienna.at) als Service zur Verfügung und wurde mit Open-Data der Stadt Wien entwickelt.</t>
  </si>
  <si>
    <t>2024-06-11 06:14:46.72309</t>
  </si>
  <si>
    <t>["146384fc-3f64-4482-a78a-2f082411a27d", "fc725989-5c3e-4bf4-89b1-68caeec4d858", "21fca925-12ac-4215-ba1a-a9c73cb3b082", "298e6b5a-21a8-4d56-9484-1bac58c94a26", "716d89ce-b0da-4158-abb6-72f562206b37", "3e62e13e-3955-494a-91b3-f00ab9e84b48", "2ed52078-7e55-40ea-8036-0d89118a06f4", "4315e096-f51e-4b56-8235-57be9789a62c", "bd8b518b-d812-46f9-b367-4c1b660cfc99", "be2e0197-57b8-4fcf-a144-cb33f7466f3a", "71084c02-973d-4544-b804-7ed82bd53027", "c7e84d16-449e-4154-a1bd-603b4fae329e", "898afe8c-0297-45d6-b4b5-0cb9e632094b", "c1ba372b-dba2-4bce-b72e-b5c832eaaf44", "54fc7750-8540-4c22-8d46-9a6a2641c41a", "5d642d09-8e03-4200-a79b-2a397a6d5d51", "87f121a7-eef0-4be9-9372-a5efe5b4d375", "8d482810-26da-4bbc-8599-6b1fd1ab8743", "97ef14eb-f280-48a7-96c0-df03859b06c2", "96196887-5a20-4e93-a302-72f306f32c9d", "523ba2e4-8c55-4dde-8acf-39e3621811b0", "7fcf7f09-12d7-4b06-a183-93c51f940670", "6f412521-2e9b-44b1-a3e4-8f1358caef63", "455cf48c-cdee-4721-a0ed-cd38af7aff0f", "5f8ecd04-6e84-4ed7-b4d6-3632c5d2b8f4", "de64ade8-5025-40f9-a2e0-15b72797e6a7", "d2c6f6f5-2236-4217-8361-3297b6369979", "2adc5a86-faa3-4b63-acff-a66128b811b7", "7c6e9dbf-487b-4146-a379-19e46642c392"]</t>
  </si>
  <si>
    <t>f913c08d-c073-4163-8fe1-e3141380c3fe</t>
  </si>
  <si>
    <t>allisearch-com</t>
  </si>
  <si>
    <t>ALLiSEARCH.com</t>
  </si>
  <si>
    <t>ALLiSEARCH.com liefert aktuelle und standortbezogene Informationen über eine Web-App für Smartphones und Desktoprechner._x000D_
_x000D_
Die einzelnen Themengebiete werden kontinuierlich erweitert, dabei werden Open Government Daten mit Non-Government Inhalten kombiniert._x000D_
_x000D_
Der Hauptfokus wird auf die Bereiche Mobilität, Tourismus und Informationen des täglichen Bedarfs gerichtet. Nach einem Testlauf in Österreich ist ein internationaler Rollout geplant.</t>
  </si>
  <si>
    <t>2024-06-11 06:14:40.787127</t>
  </si>
  <si>
    <t>["523ba2e4-8c55-4dde-8acf-39e3621811b0", "72fbf32e-c8c3-4914-92a1-66dc2439a114", "21fca925-12ac-4215-ba1a-a9c73cb3b082", "be2e0197-57b8-4fcf-a144-cb33f7466f3a", "7c6e9dbf-487b-4146-a379-19e46642c392", "c6fc4688-1aca-4363-bd1a-8d14ea08d2f8", "5d642d09-8e03-4200-a79b-2a397a6d5d51", "96196887-5a20-4e93-a302-72f306f32c9d"]</t>
  </si>
  <si>
    <t>b45b0c18-e988-4c19-aa4e-29138dd3a24c</t>
  </si>
  <si>
    <t>parlamentarische-aktivitaeten-reden-anfragen-an-die-bundesregierung</t>
  </si>
  <si>
    <t>Parlamentarische Aktivitäten. Reden &amp; Anfragen an die Bundesregierung</t>
  </si>
  <si>
    <t>Automatisierter Import von Daten aus dem Stenografischen Protokoll des Nationalrates. Importiert werden der Redegegenstand, das Datum und der Link zur Abschrift des stenografischen Protokolls sowie die entsprechenden Daten zu den „Schriftlichen Anfragen an die Bundesregierung“._x000D_
_x000D_
Die Anwendung läuft auf allen Personenseiten der SPÖ-Abgeordneten zum Nationalrat und Bundesrat auf [www.klub.spoe.at](http://www.klub.spoe.at)._x000D_
_x000D_
Eine Übersicht zu allen Seiten der Abgeordneten ist hier zu finden: &lt;http://klub.spoe.at/story/der-klub&gt;</t>
  </si>
  <si>
    <t>2024-06-11 06:14:38.731535</t>
  </si>
  <si>
    <t>fb507f93-9c0f-406f-803b-1acfe56076ba</t>
  </si>
  <si>
    <t>christbaumsammelstellen-graz</t>
  </si>
  <si>
    <t>Christbaumsammelstellen Graz</t>
  </si>
  <si>
    <t>Google Map mit sämtlichen Christbaumsammelstellen in Graz</t>
  </si>
  <si>
    <t>2024-06-11 06:14:33.23126</t>
  </si>
  <si>
    <t>["dbfb6a2f-3650-49e3-ba07-85d5848498b2"]</t>
  </si>
  <si>
    <t>1d7fa9f8-0a66-4b07-a995-33d5084484c3</t>
  </si>
  <si>
    <t>park-finder-vienna</t>
  </si>
  <si>
    <t>Park Finder Vienna</t>
  </si>
  <si>
    <t>Die Anwendung Park Finder Vienna ermöglicht es jederzeit und überall in Wien die nächstgelegenen Parkanlagen (Grünflächen) zu finden._x000D_
_x000D_
Neben Standortdaten zu Parkanlagen stehen weitere Informationen so wie Öffnungszeiten, Größe und im Park vorhandene Einrichtungen zur Verfügung</t>
  </si>
  <si>
    <t>2024-06-11 06:14:42.466339</t>
  </si>
  <si>
    <t>["22add642-d849-48ff-9913-8c7ba2d99b46"]</t>
  </si>
  <si>
    <t>1f1fcba4-5592-42da-8f3d-8212e0e02cad</t>
  </si>
  <si>
    <t>flachenwidmungsplan-vorarlberg</t>
  </si>
  <si>
    <t>Flächenwidmungsplan Vorarlberg</t>
  </si>
  <si>
    <t>This app visualizes the land destination plan from Vorarlberg - Austria._x000D_
_x000D_
Data is based on &lt;http://data.gv.at/&gt; - open data Austria</t>
  </si>
  <si>
    <t>2024-06-11 06:14:34.977195</t>
  </si>
  <si>
    <t>615b86a3-0011-4530-b31e-26361cc43c52</t>
  </si>
  <si>
    <t>a-story-about-vienna</t>
  </si>
  <si>
    <t>A story about Vienna</t>
  </si>
  <si>
    <t xml:space="preserve">Ziel der Visualisierung ist es, Website-Besuchern eine informative und visuelle Zusammenfassung der Eigenschaften, die Wien zur lebenswertesten Stadt der Welt machen, zu geben, um im weiteren Verlauf das Interesse, die Stadt näher kennenzulernen, zu wecken. Die Visualisierung soll somit einerseits Aufklärungsfunktion (Begründung der These "Wien ist die lebenswerteste Stadt der Welt") sowie Anreizfunktion (für Personen, die Wien noch nicht kennen) haben. </t>
  </si>
  <si>
    <t>2024-06-11 06:14:40.497329</t>
  </si>
  <si>
    <t>["5ceed47b-7db0-4958-a893-6d217eb25517", "c6fc4688-1aca-4363-bd1a-8d14ea08d2f8", "3e62e13e-3955-494a-91b3-f00ab9e84b48", "a42cbe4f-89f0-42ae-a34d-f2e5db6aa1d2", "de64ade8-5025-40f9-a2e0-15b72797e6a7", "523ba2e4-8c55-4dde-8acf-39e3621811b0", "6f412521-2e9b-44b1-a3e4-8f1358caef63", "898afe8c-0297-45d6-b4b5-0cb9e632094b", "aab0a0be-89e6-442e-8cf9-e762bd18f76b", "5982a27f-28a4-4f40-a1cc-5cb650400c50", "629785af-9028-4f11-bdfe-d665a26a3d35", "ea27c88d-6347-48f1-b58e-55960f99a0c1"]</t>
  </si>
  <si>
    <t>ba4d8f5c-2de2-41fd-85cf-8fd77e425cf0</t>
  </si>
  <si>
    <t>vienna-districts-in-numbers</t>
  </si>
  <si>
    <t>Vienna districts in numbers</t>
  </si>
  <si>
    <t>Das Ziel des Projekts ist es die Zusammenhänge zwischen den Bezirken der Stadt Wien, der Population und des Einkommens über einen bestimmten Zeitraum vereinfacht und graphisch Ansprechend darzustellen. Es soll dadurch möglich sein einzelne Bezirke miteinander zu vergleichen und auch die Einkommensentwicklung eines Bezirkes über die Jahre zu verfolgen.</t>
  </si>
  <si>
    <t>2024-06-11 06:14:32.950768</t>
  </si>
  <si>
    <t>["2ee6b8bf-6292-413c-bb8b-bd22dbb2ad4b", "8f405794-d95b-4d12-922a-850045bb6870", "091a085f-2652-429f-8dde-c69199440ddf"]</t>
  </si>
  <si>
    <t>b8eef34a-6b88-4e6a-a233-fe070fa3799a</t>
  </si>
  <si>
    <t>engerwitzdorf-interaktiv</t>
  </si>
  <si>
    <t>Engerwitzdorf Interaktiv</t>
  </si>
  <si>
    <t>Eine Kartenanwendung für alle veröffentlichten Points of Interest (ca. 20 Datensätze) der Gemeinde Engerwitzdorf inkl. zusätzlichen Informationen. Die Funktionen gehen von einer interaktiver Karte (Satellit und Straßenkarte), über ein- und ausblendbare Kategorien bis hin zu ein Live-Suche._x000D_
_x000D_
Neben den drei angegebenen Datensätzen, sind auch noch alle andere Datensätze mit WGS84-Koordinaten enthalten.</t>
  </si>
  <si>
    <t>2024-06-11 06:14:33.022246</t>
  </si>
  <si>
    <t>["02eb8854-42a2-44cc-b8f1-abd5cfbd00c9", "16a3da6a-d3d0-4dd7-99c5-27ab3202a939", "4ad92103-b0cf-458d-849d-6d70ac5891fd"]</t>
  </si>
  <si>
    <t>2f563680-8691-452e-9e12-0adbc285f5bc</t>
  </si>
  <si>
    <t>kurzparkzonen-lite</t>
  </si>
  <si>
    <t>Kurzparkzonen Lite</t>
  </si>
  <si>
    <t>Kurzparkzonen Lite ermittelt über den aktuellen Standort ob man sich in einer Kurzparkzone befindet oder nicht. Falls man sich in einer befindet, werden Informationen wie Parkzeiten und max. Parkdauer angezeigt und ob die Kurzparkzone aktuell gilt. Die Datenbank enthält die Kurzparkzonen (Datenquelle: Stadt Wien – data.wien.gv.at) sowie einige Geschäftsstraßen von Wien._x000D_
_x000D_
Falls ein Konto bei &lt;http://www.handyparken.at&gt; besteht, kann direkt aus der App ein Parkschein gelöst werden. (Lösung des Parkscheins über SMS Versand. Es können zusätzliche Kosten anfallen).</t>
  </si>
  <si>
    <t>2024-06-11 06:14:33.56935</t>
  </si>
  <si>
    <t>0b12d3a8-230c-4644-8734-bfc026ceee56</t>
  </si>
  <si>
    <t>wien-guide</t>
  </si>
  <si>
    <t>Wien Guide</t>
  </si>
  <si>
    <t>Wien Guide kombiniert offene Daten aus mehreren Quellen um sowohl ca. 100 Top-Ziele im Stil eines Reiseführers als auch über 10.000 weitere POI (Points of Interest) übersichtlich darzustellen. Die Kategorien reichen von Sehenswürdigkeiten bis zu Schwimmbädern oder Büchereien.</t>
  </si>
  <si>
    <t>2024-06-11 06:14:40.393794</t>
  </si>
  <si>
    <t>d4bca75d-1fa9-4f12-9538-9e4138aa400a</t>
  </si>
  <si>
    <t>wann-aufs-amt</t>
  </si>
  <si>
    <t>Wann aufs Amt?</t>
  </si>
  <si>
    <t>Eine Visualisierung der durchschnittlichen Wartezeiten auf den Magistratischen Bezirksämtern in Wien</t>
  </si>
  <si>
    <t>2024-06-11 06:14:33.819548</t>
  </si>
  <si>
    <t>["e38cdef5-f993-4e6f-919e-ac68d26d727d"]</t>
  </si>
  <si>
    <t>e648b2ab-6d86-42f0-b52b-88e561c84c62</t>
  </si>
  <si>
    <t>nationalratswahl-2013-a-nerdseye-view</t>
  </si>
  <si>
    <t>Nationalratswahl 2013 a Nerdseye view</t>
  </si>
  <si>
    <t>Was haben Globasniz in und der Alsergrund gemeinsam? Beide haben gleich wenig ÖVP und gleich viel Grün gewählt! Die Tage nach der Wahl sind voll von Karten und Analysen. Welche Orte ähnlich wählen, wird jedoch kaum beachtet._x000D_
_x000D_
Die Visualisierung erlaubt die Selektion zweier Parteien und zeigt dann, wie an welchen Orten die Parteien wie gewählt wurden.</t>
  </si>
  <si>
    <t>2024-06-11 06:14:33.60765</t>
  </si>
  <si>
    <t>["09716341-2bea-4298-9525-e936d8247d19"]</t>
  </si>
  <si>
    <t>e783dd89-996f-4e2d-9747-5b4f08f96c14</t>
  </si>
  <si>
    <t>pollenradar-wien</t>
  </si>
  <si>
    <t>Pollenradar Wien</t>
  </si>
  <si>
    <t>Pollenradar Wien stellt die allergieerzeugende Bäume und ihre Umgebung in Wien dar._x000D_
_x000D_
Die App bietet wertvolle Informationen für alle, die Ausflüge, Sport oder Piknik im Freien planen, und gegen Pollen allergisch sind._x000D_
_x000D_
Die App ermöglicht das Erstellen eines persönliches Allergie-Profils, die Blütezeiten der Baume werden im Allergie-Profil visualisiert._x000D_
_x000D_
Die App wurde auf Basis der Open Government Daten der Stadt Wien entwickelt._x000D_
_x000D_
Die Visualisierung der Daten erfolgt über Google Maps API._x000D_
_x000D_
Die App benötigt Internet-Zugriff.</t>
  </si>
  <si>
    <t>2024-06-11 06:14:32.868447</t>
  </si>
  <si>
    <t>7a010447-1fca-4374-8b5c-2cebb093a238</t>
  </si>
  <si>
    <t>ooe-info-2</t>
  </si>
  <si>
    <t>OÖ Info</t>
  </si>
  <si>
    <t>OÖ Info ist eine Web-Anwendung, welche die vom Land OÖ zur Verfügung gestellten Daten verarbeitet und gesammelt auf einer Karte darstellt. Die Nutzer haben die Möglichkeit nach Kategorien und Orte zu filtern. Statistiken in den Bereichen Bevölkerung, Geburten, Sterbefälle usw. sind als Charts einsehbar.</t>
  </si>
  <si>
    <t>2024-06-11 06:14:38.799194</t>
  </si>
  <si>
    <t>37d3bcf1-0be5-4a16-b09c-a4183b18341e</t>
  </si>
  <si>
    <t>rate-my-name</t>
  </si>
  <si>
    <t>rate my name</t>
  </si>
  <si>
    <t>Visualisierung des Datensatzes "Top 100 Vornamen in Wien" durch eine Applikation, bei der der eigene Vorname durch einen Vergleich mit dem am meisten vergebenen Namen bewertet und der Trend der Namensgebung im Zeitverlauf dargestellt wird. Auch der direkte Vergleich mit einem 2. Vornamen ist möglich.</t>
  </si>
  <si>
    <t>2024-06-11 06:14:32.690372</t>
  </si>
  <si>
    <t>d94e8bcb-7056-4363-bfa0-6a8f06a2aa0a</t>
  </si>
  <si>
    <t>offi-at</t>
  </si>
  <si>
    <t>öffi.at</t>
  </si>
  <si>
    <t>Öffi.at bietet schnellen, mobilen Zugriff auf die Echtzeitdaten der Wienerlinien. Du möchtest die schnellste Route zwischen zwei Punkten in Wien mit Hilfe der öffentlichen Verkehrsmittel suchen? Oder dich interessieren die Abfahrten an einer Station oder einer Linie? Hier wirst du fündig._x000D_
_x000D_
Häufig verwendete Routen, Linien oder Stationen können sogar als Favorit gespeichert werden._x000D_
_x000D_
Die Website wurde speziell für die Bedürfnisse von mobilen Browsern entwickelt und die Verwendung ist völlig kostenlos._x000D_
_x000D_
Viel Spaß beim Erkunden!</t>
  </si>
  <si>
    <t>2024-06-11 06:14:33.782539</t>
  </si>
  <si>
    <t>["9c203fec-dc0d-412c-a7a3-7fd77d0346f1", "522d3045-0b37-48d0-b868-57c99726b1c4"]</t>
  </si>
  <si>
    <t>65a4c926-9807-4d0b-9940-f732aee2af52</t>
  </si>
  <si>
    <t>kremsalarm-hochwasser-warn-app</t>
  </si>
  <si>
    <t>KremsAlarm - Hochwasser-Warn-App</t>
  </si>
  <si>
    <t>Die App "KremsAlarm" verwendet Wasserstandsdaten der Krems (Messstation Kremsmünster, OÖ) um:_x000D_
* den aktuellen Pegel anzuzeigen und_x000D_
* um zu prüfen, ob ein definierter Warnpegel erreicht wurde._x000D_
_x000D_
_x000D_
Beim Erreichen des Warnpegels, wird_x000D_
* automatische eine Warnmeldung angezeigt und_x000D_
* Vibrationsalarm ausgelöst._x000D_
_x000D_
_x000D_
Weiters können Informationen zur verwendeten Messsation angezeigt werden._x000D_
_x000D_
Die Aktualisierungsfrequenz kann vom Benutzer festgelegt werden._x000D_
_x000D_
Bei der Entwicklung wurde ausserdem ein Augenmerk auf einen geringen Akkuverbrauch geachtet.</t>
  </si>
  <si>
    <t>2024-06-11 06:14:33.928185</t>
  </si>
  <si>
    <t>823747bd-2dc1-4828-919b-b8a242fefd71</t>
  </si>
  <si>
    <t>kulturapp</t>
  </si>
  <si>
    <t>Kultur;App</t>
  </si>
  <si>
    <t>Wohin in Wien?_x000D_
_x000D_
Das Veranstaltungsangebot der Bundestheater, Bundesmuseen und von ausgewählten Wiener Theatern der kommenden 7 Tage auf einen Blick. Die Kultur;App bietet Informationen zu Konzerten, Opernaufführungen, Theaterstücken und Ausstellungen und vieles mehr. Nehmen Sie auf Knopfdruck Kontakt mit den Spielstätten auf, und bestellen Sie Ihre Karten. Speichern Sie gebuchte Veranstaltungen in Ihrem Kalender, Sie werden rechtzeitig noch einmal erinnert, legen Sie interessante Events in Ihren Favoriten ab._x000D_
_x000D_
Finden Sie mit der Kultur;App gezielt das nächste kulturelle Angebot, die Veranstaltungsorte werden direkt auf der Karte angezeigt, ein Routenplaner für Sie zuverlässig dorthin, ob mit dem Auto oder zu Fuß._x000D_
_x000D_
Bundeskanzleramt Österreich, Stadt Wien</t>
  </si>
  <si>
    <t>2024-06-11 06:14:33.130164</t>
  </si>
  <si>
    <t>ac89dc10-9753-422c-8d1d-0f2e55a518af</t>
  </si>
  <si>
    <t>vienna-linked-open-data</t>
  </si>
  <si>
    <t>Vienna Linked Open Data</t>
  </si>
  <si>
    <t>Im Rahmen des Vienna Linked Open Data (LOD) Projektes wurden Datensätze von OGD Wien in Linked Open Data (RDF-Format) konvertiert und intern sowie mit anderen LOD-Datensätzen verlinkt. Alle Anforderungen des World Wide Web Consortiums bzgl. LOD wurden dabei berücksichtigt. Die Konvertierung ist Teil einer Diplomarbeit an der TU Wien.</t>
  </si>
  <si>
    <t>2024-06-11 06:14:40.357693</t>
  </si>
  <si>
    <t>ea52760b-1cf5-4a53-9688-a0f704c285f3</t>
  </si>
  <si>
    <t>oamtc-app</t>
  </si>
  <si>
    <t>ÖAMTC App</t>
  </si>
  <si>
    <t>Neben dem aktuellen Verkehrslagebild für das komplette österreichische Straßennetz, Tankstellen inklusive aktueller Treibstoffpreise und direktem Zugang zur ÖAMTC-Nothilfe bietet die iPhone- und Android-App des ÖAMTC auch Informationen zu rund 700 Park &amp; Ride-Anlagen sowie Parkgaragen in allen größeren heimischen Städten. Für Wien ist auch die exakte Ausdehnung der flächendeckenden Kurzparkzonen gekennzeichnet.</t>
  </si>
  <si>
    <t>2024-06-11 06:14:33.16284</t>
  </si>
  <si>
    <t>["6858b208-62bc-424e-9d7b-c89b74d3d3e3", "627a9226-a907-4018-89e3-878002a9d22b"]</t>
  </si>
  <si>
    <t>b1c1353d-4c8a-4a45-8cd2-c54b504d90f1</t>
  </si>
  <si>
    <t>tirol-atlas-sportstaetten</t>
  </si>
  <si>
    <t>Tirol Atlas: Sportstätten</t>
  </si>
  <si>
    <t>Sportstätten und Freizeitanlagen der Tiroler Gemeinden mit weiterführenden Informationen zu jeder Anlage. Suchbar nach Gemeinde oder über Karten nach Freizeitaktivität.</t>
  </si>
  <si>
    <t>2024-06-11 06:14:33.749317</t>
  </si>
  <si>
    <t>["42b1da9c-72f8-4155-92c5-01b01696b1b7"]</t>
  </si>
  <si>
    <t>1cac07ce-35f7-4a91-8c77-8c431ea09c05</t>
  </si>
  <si>
    <t>open-data-mashup</t>
  </si>
  <si>
    <t>Open Data Mashup</t>
  </si>
  <si>
    <t>Diese App ermöglicht eine modulare Verknüpfung verschiedenster Open Data Datensätze. Spielerisch lassen sich Ein- und Ausgänge verbinden, um so einen neuen Blickwinkel auf vorhandene Daten zu erhalten._x000D_
_x000D_
So kann man sich zum Beispiel Parkanlagen anzeigen lassen, die eine hohe Luftgüte besitzen, oder Citybike-Stationen mit freien Rädern, die nicht weiter als 1km von einer öffentlichen Bademöglichkeit entfernt sind.</t>
  </si>
  <si>
    <t>2024-06-11 06:14:42.431497</t>
  </si>
  <si>
    <t>["9ecf5866-dbe8-4cb2-b156-5097c7eec01f", "36a8b9e9-909e-4605-a7ba-686ee3e1b8bf", "87f121a7-eef0-4be9-9372-a5efe5b4d375", "22add642-d849-48ff-9913-8c7ba2d99b46", "8b3b3cdf-2be6-4f0b-8c86-f6be67e5b002", "523ba2e4-8c55-4dde-8acf-39e3621811b0"]</t>
  </si>
  <si>
    <t>7ed5a498-4f14-4eee-af05-b91d458bf3b4</t>
  </si>
  <si>
    <t>bevolkerungsentwicklung-graz</t>
  </si>
  <si>
    <t>Bevölkerungsentwicklung Graz</t>
  </si>
  <si>
    <t>Eine grafische Darstellung der Bevölkerungsentwicklung in Graz in den Jahren 2011-2031. Detaillierte Daten zu sämtlichen Grazer Bezirken können in unterschiedlicher Art dargestellt &amp; miteinander verglichen werden.</t>
  </si>
  <si>
    <t>2024-06-11 06:14:33.328701</t>
  </si>
  <si>
    <t>["786d5be0-47ea-4c64-8299-2ee28b1ddfef"]</t>
  </si>
  <si>
    <t>57b5ecfd-4f61-4a39-94d0-261a02d29404</t>
  </si>
  <si>
    <t>kidcare-2</t>
  </si>
  <si>
    <t>kidcare</t>
  </si>
  <si>
    <t>kidcare soll jungen Eltern helfen einen geeigneten Kinderbetreuungsplatz zu finden._x000D_
_x000D_
Die Grundidee der App war, eine Plattform zu bieten, die zeigt wie viele freie Betreuungsplätze wo zu  finden sind. Beziehungsweise Eltern eine schnelle und unkomplizierte Möglichkeit, einen Babysitter zu finden, zur Verfügung zu stellen._x000D_
_x000D_
Dabei entlastet kidcare nicht nur Eltern, sondern auch Dienstleister in diesem Bereich. Da jede Krabbelstube, jeder Kindergarten und jeder Babysitter ein eigenes Profil hat, können diese sich auf einem kinderleichten Wege vorstellen, ihre Angebote preisgeben und mitteilen ob sie einen freien Platz haben.</t>
  </si>
  <si>
    <t>2024-06-11 06:14:34.168304</t>
  </si>
  <si>
    <t>a2fb6352-cdfc-4db9-be9d-a9bfd4d31530</t>
  </si>
  <si>
    <t>bevolkerungszahlen-und-dichte-in-wien-nach-zahlbezirken</t>
  </si>
  <si>
    <t>Bevölkerungszahlen und -dichte in Wien nach Zählbezirken</t>
  </si>
  <si>
    <t>Dieser Datensatz fasst räumliche Informationen zu Zählbezirken der Stadt Wien und demographische Informationen zu Bevölkerungszahlen zusammen._x000D_
_x000D_
Der Datensatz umfasst Bevölkerungszahlen der Wiener Zählbezirke für 2011 und 2012._x000D_
_x000D_
Eine Beschreibung der verwendeten Methode findet sich auf:_x000D_
_x000D_
&lt;http://anitagraser.com/2012/11/17/mapping-ogdwien-population-density/&gt;</t>
  </si>
  <si>
    <t>2024-06-11 06:14:29.50035</t>
  </si>
  <si>
    <t>["e4079286-310c-435a-af2d-64604ba9ade5", "9ecf5866-dbe8-4cb2-b156-5097c7eec01f"]</t>
  </si>
  <si>
    <t>e1384d14-b8f5-4bf3-a0f3-e534f054652d</t>
  </si>
  <si>
    <t>wanderleo-2</t>
  </si>
  <si>
    <t>WanderLeo</t>
  </si>
  <si>
    <t xml:space="preserve">WanderLeo ist am "Wiener Stadtwanderweg 1a - Leopoldsberg" dein Begleiter._x000D_
_x000D_
Unser Maskottchen Leo begleitet dich entlang des Weges und vermittelt auf lustige und spielerische Art Informationen über die Orte, auf die du während deiner Wanderung stößt._x000D_
_x000D_
Es werden dir allgemeine Informationen wie Länge und Gehzeit zum Wanderweg angeboten. Auf einer Landkarte kannst du den genauen Verlauf des Weges mitverfolgen. Du weißt somit stets, wo du dich befindest und kannst den Weg nicht verlieren._x000D_
_x000D_
Zur Auflockerung gibt es insgesamt 14 Stationen zu den Themen Leopoldsberg, Donau oder zur Schleiersage des heiligen Leopold. Jede Station beinhaltet interessante Informationen, ein Foto und eine Quizfrage dazu._x000D_
_x000D_
WanderLeo soll alle Menschen ansprechen, die während einer Wanderung die Natur genießen und sich durch technische Unterstützung Zusatzinformationen beschaffen wollen. WanderLeo ist lustig und macht die Wanderung kurzweilig. Außerdem erfährt der Besucher viel über die erwanderte Umgebung._x000D_
_x000D_
Wir halten es für wichtig, dass WanderLeo auch noch funktioniert, wenn man in der Natur einmal keine Internetverbindung hat. Deshalb ist der Inhalt offline nutzbar. Nur das Kartenmaterial kann nicht angezeigt werden. Der Weg und die aktuelle Position sind aber weiterhin sichtbar._x000D_
_x000D_
Mit WanderLeo bist du vor und während der Wanderung am Wiener Stadtwanderweg 1a stets gerüstet!_x000D_
_x000D_
Hauptfunktionen:_x000D_
* Wanderführer für den Stadtwanderweg 1a am Leopoldsberg_x000D_
* Genaue Anzeige der Wanderroute auf der Landkarte_x000D_
* Die aktuelle Position wird angezeigt_x000D_
* Mittels GPS wird die Entfernung zur nächsten Station angegeben_x000D_
* Fragen zu jeder Station mit der richtigen Auflösung_x000D_
* Audiounterstützung bei der Beantwortung der Fragen_x000D_
</t>
  </si>
  <si>
    <t>2024-06-11 06:14:32.442519</t>
  </si>
  <si>
    <t>["36886c25-6961-4055-96b2-b3e8b138e588"]</t>
  </si>
  <si>
    <t>65bb123b-1373-4d63-b582-c7b79f0f39fa</t>
  </si>
  <si>
    <t>vienna-realtime</t>
  </si>
  <si>
    <t>Vienna RealTime</t>
  </si>
  <si>
    <t>Vienna RealTime zeigt die Abfahrten an Haltestellen der Wiener Linien. Haltestellen können nach Name, Linie und in der Nähe der aktuellen Position gesucht werden. Oft genutzte Haltestellen können als Favorit gemerkt werden. Zusätzlich werden Meldungen über Betriebsstörungen geliefert._x000D_
_x000D_
Vienna RealTime ist [Open Source](https://github.com/christophwille/viennarealtime) und steht unter der MIT Lizenz.</t>
  </si>
  <si>
    <t>2024-06-11 06:14:33.431737</t>
  </si>
  <si>
    <t>["522d3045-0b37-48d0-b868-57c99726b1c4", "9c203fec-dc0d-412c-a7a3-7fd77d0346f1"]</t>
  </si>
  <si>
    <t>b508c879-805b-4976-901b-4002cb406e00</t>
  </si>
  <si>
    <t>tirol-atlas-gemeindefinanzen</t>
  </si>
  <si>
    <t>Tirol Atlas: Gemeindefinanzen</t>
  </si>
  <si>
    <t>Visualisierung der Finanzlage der Gemeinden Tirols in Form von thematischen Karten, Diagrammen und Tabellen</t>
  </si>
  <si>
    <t>2024-06-11 06:14:48.49088</t>
  </si>
  <si>
    <t>["9fd80fda-bc9d-4f9e-8349-96416468a69f"]</t>
  </si>
  <si>
    <t>670d5a69-6f25-465c-8b68-15cda50efbc4</t>
  </si>
  <si>
    <t>gooffi</t>
  </si>
  <si>
    <t>goÖffi</t>
  </si>
  <si>
    <t>Mit goÖffi können Abfahrtszeiten der Wiener Linien unkompliziert und in Echtzeit abgerufen werden. Einfach die gewünschte Station eingeben und umgehend erscheinen die nächsten Abfahrten der jeweiligen Linien. Haltestellen können entweder direkt, per Adresse oder anhand des aktuellen Standorts gesucht werden._x000D_
_x000D_
Zusätzlich bietet goÖffi einen Routenplaner und eine Übersicht aller CityBike Stationen in Wien._x000D_
_x000D_
goÖffi ist intuitiv zu bedienen und läuft als Webapp auf allen gängigen Web Browsern (PC &amp; Mobile). Eine App-Installation ist nicht nötig._x000D_
_x000D_
Alle Stationen können als Browser-Bookmark für einen schnellen Zugriff gespeichert werden._x000D_
_x000D_
Die Abfahrtsdaten aktualisieren sich automatisch alle 30 Sekunden.</t>
  </si>
  <si>
    <t>2024-06-11 06:14:33.497312</t>
  </si>
  <si>
    <t>["522d3045-0b37-48d0-b868-57c99726b1c4", "21fca925-12ac-4215-ba1a-a9c73cb3b082", "523ba2e4-8c55-4dde-8acf-39e3621811b0", "9c203fec-dc0d-412c-a7a3-7fd77d0346f1"]</t>
  </si>
  <si>
    <t>25bfcf8a-9e8a-4744-ab08-4dc1ed5e4823</t>
  </si>
  <si>
    <t>polizeistationen-wien-2</t>
  </si>
  <si>
    <t>Polizeistationen Wien</t>
  </si>
  <si>
    <t>Diese App ist eine große Hilfe die Polizeistation in Wien zu finden. Durch den Einsatz von GPS wird die aktuelle Position erkannt und es sollte kein Problem sein bald bald dort zu sein._x000D_
_x000D_
Daten basieren auf Open Government Data Wien [http://data.wien.gv.at/](https://www.data.gv.at/auftritte/?organisation=stadt-wien)</t>
  </si>
  <si>
    <t>2024-06-11 06:14:34.622591</t>
  </si>
  <si>
    <t>8a220e95-6572-4484-9847-a60dacd7082b</t>
  </si>
  <si>
    <t>instaplay-2</t>
  </si>
  <si>
    <t>InstaPLAY</t>
  </si>
  <si>
    <t>Mobile Web Anwendung zum Finden des nächsten Spielplatzes in Wien._x000D_
_x000D_
Darstellung der Spielplätze auf der Karte._x000D_
_x000D_
Aktualisierung der GPS - Position_x000D_
_x000D_
Anzeige des aktuellen Spielplatzes, falls Sie sich am Spielplatz befinden Sortierte Liste der nächsten Spielplätze mit Suche.</t>
  </si>
  <si>
    <t>2024-06-11 06:14:42.59748</t>
  </si>
  <si>
    <t>["bd8b518b-d812-46f9-b367-4c1b660cfc99"]</t>
  </si>
  <si>
    <t>6cdac73b-cfab-4ca8-8ea1-c868f3540df2</t>
  </si>
  <si>
    <t>oeffis-2</t>
  </si>
  <si>
    <t>Öffis</t>
  </si>
  <si>
    <t xml:space="preserve">* Anzeige der Abfahrtszeiten der Wiener Linien (Echtzeit und Fahrplan)_x000D_
* Zusatzinfos wie barrierefrei oder Verkehrsstörungen_x000D_
* Plan-Darstellungen_x000D_
* Suche nach Haltestellen oder Linien_x000D_
* Auflistung der Haltestellen mit Umsteigemöglichkeiten_x000D_
</t>
  </si>
  <si>
    <t>2024-06-11 06:14:33.858489</t>
  </si>
  <si>
    <t>96be2a46-70c7-4721-8b7e-4a07003495d6</t>
  </si>
  <si>
    <t>abfahrt-3</t>
  </si>
  <si>
    <t>Abfahrt</t>
  </si>
  <si>
    <t xml:space="preserve">Schon mal den Zug verpasst? Das hat jetzt ein Ende._x000D_
_x000D_
In „Abfahrt” kann man zuerst die gewünschte Verbindung suchen und sich zu einer selbst definierten Zeitspanne vor Abfahrt daran erinnern lassen. Außerdem wird die Zeit bis zur Abfahrt des Zuges übersichtlich dargestellt als Countdown dargestellt, wodurch man immer im Blick hat, wie viel Zeit man noch hat._x000D_
_x000D_
Zurzeit sind die Daten von folgenden Anbietern enthalten:_x000D_
* Google Transit (Mehrere Länder)_x000D_
* Wiener Linien (Wien, Österreich)_x000D_
* Linz Linien (Linz, Österreich)_x000D_
</t>
  </si>
  <si>
    <t>2024-06-11 06:14:40.539098</t>
  </si>
  <si>
    <t>["d3c0a223-516b-4049-9370-22881a0428d8", "9c203fec-dc0d-412c-a7a3-7fd77d0346f1"]</t>
  </si>
  <si>
    <t>d9a87c0f-7f1b-4251-bdcb-b44f692f2614</t>
  </si>
  <si>
    <t>schwimmbaeder-in-wien</t>
  </si>
  <si>
    <t>Schwimmbäder in Wien</t>
  </si>
  <si>
    <t>Diese App ist eine große Hilfe das nächste Schwimmbad in Wien zu finden. Durch den Einsatz von GPS wird die aktuelle Position erkannt und es sollte kein Problem sein bald bald dort zu sein._x000D_
_x000D_
Daten basieren auf Open Government Data Wien [http://data.wien.gv.at/](https://www.data.gv.at/auftritte/?organisation=stadt-wien)</t>
  </si>
  <si>
    <t>2024-06-11 06:14:34.76576</t>
  </si>
  <si>
    <t>af4cb827-d868-4a68-a62f-eb378c18f053</t>
  </si>
  <si>
    <t>femhelp</t>
  </si>
  <si>
    <t>FEM:help</t>
  </si>
  <si>
    <t>Österreich ist internationaler Vorreiter bei der Bekämpfung von Gewalt gegen Frauen. Wir haben ein hervorragendes Gewaltschutzgesetz und ein dichtes Netz an Einrichtungen, die Frauen in Notsituationen helfen._x000D_
_x000D_
Gewalt gegen Frauen ist aber leider trotzdem allgegenwärtig, und niederschwellige Hilfestellungen sind von Nöten. Darum präsentieren wir mit der fem:HELP-App ein Tool, das Frauen, die sich in einer Notsituation befinden, künftig noch besser unterstützen wird.</t>
  </si>
  <si>
    <t>2024-06-11 06:14:33.531281</t>
  </si>
  <si>
    <t>24497c5e-c6c1-40ba-8d57-31327085bbfc</t>
  </si>
  <si>
    <t>pegelstand-kremsfluss</t>
  </si>
  <si>
    <t>Pegelstand Kremsfluss</t>
  </si>
  <si>
    <t>Einfache Karten-Visualisierung des Pegelstands in Kremsmünster mit Zusatzinformationen.</t>
  </si>
  <si>
    <t>2024-06-11 06:14:33.465635</t>
  </si>
  <si>
    <t>146ee6f5-d7d4-44ee-8d40-6145c8c1bf59</t>
  </si>
  <si>
    <t>parken-wien-2</t>
  </si>
  <si>
    <t>Parken Wien</t>
  </si>
  <si>
    <t>Diese App findet Kurzparkzonen, Kurzparkstreifen, Parkpickerl-Gültigkeitsbereiche in der Umgebung, und gibt die Daten medial aufbereitet an den Benutzer weiter.</t>
  </si>
  <si>
    <t>2024-06-11 06:14:33.676806</t>
  </si>
  <si>
    <t>["aa8876c7-9711-4969-b428-34400f2d0dbe", "6858b208-62bc-424e-9d7b-c89b74d3d3e3", "71a6ca86-228a-4b57-b1bc-c3b887dd009e"]</t>
  </si>
  <si>
    <t>88597846-b410-423d-aa34-e74c6a9e9a9a</t>
  </si>
  <si>
    <t>behindertenparkplaetze-3</t>
  </si>
  <si>
    <t>Behindertenparkplätze</t>
  </si>
  <si>
    <t>Diese Anwendung unterstützt behinderte Menschen bei der Suche nach einem Behindertenparkplatz und zeigt ihnen interessante Ziele in der Umgebung an.</t>
  </si>
  <si>
    <t>2024-06-11 06:14:46.69146</t>
  </si>
  <si>
    <t>["146384fc-3f64-4482-a78a-2f082411a27d", "3ff63cf5-8d04-4be5-9449-96411ae9fc36", "2adc5a86-faa3-4b63-acff-a66128b811b7"]</t>
  </si>
  <si>
    <t>dda47439-e442-4a74-8f00-dfcfb65345fb</t>
  </si>
  <si>
    <t>bevoelkerungsprognose-in-der-steiermark</t>
  </si>
  <si>
    <t>Bevölkerungsprognose in der Steiermark</t>
  </si>
  <si>
    <t>Stellt die Bevölkerungsprognose in den steirischen Gemeinden graphisch dar.</t>
  </si>
  <si>
    <t>2024-06-11 06:14:34.064256</t>
  </si>
  <si>
    <t>["54171a40-1cfd-11e2-892e-0800200c9a66"]</t>
  </si>
  <si>
    <t>7170e71b-da13-45b4-838e-7274f964006e</t>
  </si>
  <si>
    <t>eversport-2</t>
  </si>
  <si>
    <t>Eversport</t>
  </si>
  <si>
    <t>Eversport erleichtert Menschen den Zugang zu Sport- und Freizeitaktivitäten in ihrer direkten Umgebung. Wir inspirieren Menschen dazu Sport zu treiben und sich mit Gleichgesinnten auszutauschen._x000D_
_x000D_
Auf dem innovativen Webportal und den mobilen Apps finden Eversport UserInnen mit Hilfe zahlreicher Filter und Priorisierungsmöglichkeiten schnell und einfach das für sie beste Sportangebot in ihrer Umgebung. In späteren Phasen werden wir die Eversport-Community durch soziale Funktionen bei der Planung und Organisation von Sport noch weiter unterstützen.</t>
  </si>
  <si>
    <t>2024-06-11 06:14:33.64324</t>
  </si>
  <si>
    <t>["71084c02-973d-4544-b804-7ed82bd53027"]</t>
  </si>
  <si>
    <t>80541808-c818-4912-8cc4-38bac1936b8c</t>
  </si>
  <si>
    <t>validating-and-exploiting-open-government-data-with-r</t>
  </si>
  <si>
    <t>Validating and exploiting Open Government Data with R</t>
  </si>
  <si>
    <t>Dieses Tutorial zeigt wie man Open Government Data (OGD) abrufen und im R-Framework (weiter)verarbeiten kann. Anhand von Daten des Wiener Baumkatasters werden verschiedene Anwendungs- und Visualiserungsmöglichkeiten beschrieben.</t>
  </si>
  <si>
    <t>2024-06-11 06:14:41.565123</t>
  </si>
  <si>
    <t>a7d8dd6a-f42b-478c-b296-effabefccec6</t>
  </si>
  <si>
    <t>wiener-linien-generator</t>
  </si>
  <si>
    <t>Wiener Linien Generator</t>
  </si>
  <si>
    <t>Dieses Open Source App richtet sich an Entwickler die mit dem Wiener Linien Echtzeitabfahrtsdatenserver arbeiten möchten. Es nimmt die 3 CSV Dateien der Wiener Linien und verwandelt sie in eine JSON Array Datei mit einer Dictionary pro Station. Redundante und unregelmässige Daten, wie z.B. RBL Nummern die durch ":" getrennt sind, werden dabei korrigiert._x000D_
_x000D_
Durch die Verknüpfung der 3 Dateien in eine JSON Datei können Entwickler leichter und schneller Apps schreiben die mit dem Echtzeitabfahrtsdatenserver kommunizieren möchten._x000D_
_x000D_
Das App wird für das "Wann" iOS App verwendet ([http://subzero.eu/wann](https://owa0a.portal.at/owa/data@brz.gv.at/redir.aspx?C=_csZEcgbK0yb7PCmE8GHy9UPcu7Xk9AI4SmtQ5_l59s5oMjRpIaGT_hxXqyuUmRaxjQEQhpCRzM.&amp;URL=http%3a%2f%2fsubzero.eu%2fwann)). Da der "Wiener Linien Generator" Open Source ist kann er leicht angepasst werden sollte ein Entwickler eine andere Struktur benötigen._x000D_
_x000D_
Falls ein Entwickler keinen Mac hat aber gerne die JSON Datei hätte kann diese auch direkt über  [https://gist.github.com/hactar/6793144](https://owa0a.portal.at/owa/data@brz.gv.at/redir.aspx?C=_csZEcgbK0yb7PCmE8GHy9UPcu7Xk9AI4SmtQ5_l59s5oMjRpIaGT_hxXqyuUmRaxjQEQhpCRzM.&amp;URL=https%3a%2f%2fgist.github.com%2fhactar%2f6793144) abgerufen werden.</t>
  </si>
  <si>
    <t>2024-06-11 06:14:33.713574</t>
  </si>
  <si>
    <t>["522d3045-0b37-48d0-b868-57c99726b1c4"]</t>
  </si>
  <si>
    <t>54a4a2e0-4382-478f-b424-0d07ff18e62e</t>
  </si>
  <si>
    <t>baustellen-ooe-2</t>
  </si>
  <si>
    <t>Baustellen OÖ - Der Baustellenführer für Oberösterreich</t>
  </si>
  <si>
    <t xml:space="preserve">Du wohnst in Oberösterreich oder reist durch dieses Bundesland? Du möchtest laufend über Baustellen informiert sein, um nicht in Verkehrsstaus zu gelangen?_x000D_
_x000D_
Dann ist dieses App genau das, was du suchst._x000D_
_x000D_
Sämtliche Informationen werden bei jedem Start des Apps automatisch aktualisiert, damit du immer auf dem neuesten Stand bist. Diese Daten stammen aus einem Feed bereitgestellt vom Land Oberösterreich._x000D_
_x000D_
Baustellen OÖ - Der Baustellenführer für Oberösterreich hat beim APPer Austrian Award 2014, einem Wettbewerb des Landes Oberösterreich zur Schaffung innovativer und kreativer Applikationen und Konzepte unter Verwendung offener Regierungs- und Verwaltungsdaten, teilgenommen. Experten aus der Wirtschaft, Wissenschaft und Verwaltung haben das App in der Kategorie “Web-Anwendungen und mobile Applikationen” mit dem ersten Platz ausgezeichnet._x000D_
_x000D_
FUNKTIONEN_x000D_
* Karten- und Listenansicht mit den Standorten der Baustellen_x000D_
* Clustering (Zusammenfassen) der Baustellen in der Kartenansicht, um die Übersichtlichkeit zu verbessern_x000D_
* Auswahlmöglichkeit zwischen den iOS-Standardkarten, der OpenStreetMap und der OpenTopoMap_x000D_
* Filtern (Ein- und Ausblenden) der Baustellen_x000D_
* Anzeige von Detailinformationen, wie dem genauen Zeitraum und dem Grund der Baustelle, sowie Angaben zur Fahrzeitverlängerung, Kontaktadressen der Verantwortlichen und vieles mehr_x000D_
* Teilen der Baustelleninformationen per Email, SMS und Twitter_x000D_
* Lass dich benachrichtigen, wenn es neue Baustellen gibt. Dazu kannst du beliebig viele Gebiete festlegen, die dich interessieren (zB. bei dir zuhause, bei deiner Arbeit, etc.)_x000D_
* Lass dir eine Route berechnen, um zu sehen, ob es dort Baustellen gibt_x000D_
* Volltextsuche im Filtermenü, Kartenansicht und Listenansicht_x000D_
</t>
  </si>
  <si>
    <t>2024-06-11 06:14:38.840462</t>
  </si>
  <si>
    <t>5be44c82-c093-40c7-abbd-3de616a8c48f</t>
  </si>
  <si>
    <t>zoomsquare-2</t>
  </si>
  <si>
    <t>zoomsquare</t>
  </si>
  <si>
    <t>zoomsquare ist eine Suchmaschine für Immobilien die laufend neue Anzeigen im Web sucht und mit persönlichen Suchwünschen seiner User abgleicht. Dabei werden mit Hilfe semantischer Textanalyse alle Anzeigen nach Übereinstimmung mit den User-Wünschen gereiht, sowie auch erstmals die genaue Lage auf einer Karte angezeigt. Umgebungsinfos aus Open Data Quellen wie Supermärkte, Schulen, Öffis, usw. sind dadurch auch sofort ersichtlich.</t>
  </si>
  <si>
    <t>2024-06-11 06:14:42.658129</t>
  </si>
  <si>
    <t>["87f121a7-eef0-4be9-9372-a5efe5b4d375", "c1ba372b-dba2-4bce-b72e-b5c832eaaf44", "bd8b518b-d812-46f9-b367-4c1b660cfc99", "22add642-d849-48ff-9913-8c7ba2d99b46", "2adc5a86-faa3-4b63-acff-a66128b811b7", "7fcf7f09-12d7-4b06-a183-93c51f940670", "71084c02-973d-4544-b804-7ed82bd53027", "28a7419c-f432-4e1a-b0a6-aa9e71968a14", "72fbf32e-c8c3-4914-92a1-66dc2439a114", "523ba2e4-8c55-4dde-8acf-39e3621811b0", "627a9226-a907-4018-89e3-878002a9d22b", "298e6b5a-21a8-4d56-9484-1bac58c94a26", "898afe8c-0297-45d6-b4b5-0cb9e632094b"]</t>
  </si>
  <si>
    <t>abb4b97f-7423-44d1-8a74-7510af58437e</t>
  </si>
  <si>
    <t>baumkataster-wien-query</t>
  </si>
  <si>
    <t>Baumkataster Wien Query</t>
  </si>
  <si>
    <t>Eine einfache Webanwendung, die die Eintragungen des Baumkatasters nach Baumnummer auflistet.</t>
  </si>
  <si>
    <t>2024-06-11 06:14:29.432034</t>
  </si>
  <si>
    <t>4243273b-59d3-4b5c-abd3-887ca5580d16</t>
  </si>
  <si>
    <t>radwege-wien-2</t>
  </si>
  <si>
    <t>Radwege Wien</t>
  </si>
  <si>
    <t>Diese App ist eine große Hilfe alle Radwege in Wien zu finden. Durch den Einsatz von GPS wird die aktuelle Position erkannt und es sollte kein Problem sein bald bald dort zu sein._x000D_
_x000D_
Daten basieren auf Open Government Data Wien [http://data.wien.gv.at/](https://www.data.gv.at/auftritte/?organisation=stadt-wien)</t>
  </si>
  <si>
    <t>2024-06-11 06:14:35.010156</t>
  </si>
  <si>
    <t>["5e6175cd-dc44-4b32-a64a-1ac4239a6e4a"]</t>
  </si>
  <si>
    <t>d02f2647-5a8c-47a8-a8b8-af1ea5f9716b</t>
  </si>
  <si>
    <t>playzone-2</t>
  </si>
  <si>
    <t>PlayZone</t>
  </si>
  <si>
    <t>PlayZone, die praktische App, hilft Eltern, den Tag effizient zu nutzen. Kinderfreundliche Orte entdecken, sich spontan verabreden oder Treffen im Voraus planen: Dies alles schaffen Sie mit der neuen und innovativen iPhone-App ganz einfach. Freunde können via PlayZone, Facebook oder Twitter über Aktivitäten benachrichtigt werden. Wer einen neuen kinderfreundlichen Ort entdeckt, kann ihn auch ganz leicht selbst hinzufügen.</t>
  </si>
  <si>
    <t>2024-06-11 06:14:42.62784</t>
  </si>
  <si>
    <t>["b77d0b46-306c-46da-b26d-6e4dd718fde7", "bd8b518b-d812-46f9-b367-4c1b660cfc99"]</t>
  </si>
  <si>
    <t>7a34ef9d-6576-452d-b56e-ded9d81ea6f2</t>
  </si>
  <si>
    <t>aquarinthia-2</t>
  </si>
  <si>
    <t>AQUArinthia</t>
  </si>
  <si>
    <t>Kärnten ist voller Wasser, egal ob es vom Himmel fällt oder die Seen füllt und AQUArinthia ist deine App dazu._x000D_
_x000D_
Diese App zeigt euch aktuelle Pegelstände und Wassertemperaturen der Seen, sowie aktuelle Niederschlagswerte und Lufttemperaturen aus ganz Kärnten. Über das Symbol mit der Fahne in der oberen Leiste gelangt ihr zu einer Karte auf der euch alle Daten direkt an den Messstationen angezeigt werden._x000D_
_x000D_
Diese App ist OpenSource! Den SourcCode der aktuellen Version findet ihr auf GitHub -&gt; &lt;https://github.com/salendron/AQUArinthia&gt;_x000D_
_x000D_
Alle Daten dieser App stammen aus dem Open Government Data (OGD) Portal des Landes Kärnten und stehen unter der Creative Commons Namensnennung 3.0 Österreich Lizenz. &lt;http://data.ktn.gv.at&gt;</t>
  </si>
  <si>
    <t>2024-06-11 06:14:40.922163</t>
  </si>
  <si>
    <t>["e454bf6a-3321-4a86-998a-af61123eb056", "ba4b775e-6073-402d-9210-509125f6c5a3"]</t>
  </si>
  <si>
    <t>c846b5d6-333c-4659-9bda-7dab12c10a68</t>
  </si>
  <si>
    <t>digitales-gelaendemodell-wien-5m-raster</t>
  </si>
  <si>
    <t>Digitales Geländemodell Wien 5m-Raster</t>
  </si>
  <si>
    <t>Rasterversion des Wiener Geländemodels basierend auf dem WFS-Punktraster des digitalen Geländemodells der Stadt Wien in 5 Meter Auflösung.</t>
  </si>
  <si>
    <t>2024-06-11 06:14:34.029407</t>
  </si>
  <si>
    <t>3ae637c4-4286-411d-a1c6-cf12f926455a</t>
  </si>
  <si>
    <t>wasserkarte-info-wasserkarten-fuer-feuerwehren</t>
  </si>
  <si>
    <t>wasserkarte.info - Wasserkarten für Feuerwehren</t>
  </si>
  <si>
    <t>Wasserkarten und Hydrantenpläne sind im Feuerwehrwesen ein wichtiges Hilfsmittel, um schnell die nächste Wasserentnahmestelle zu finden. Bisher war die Erstellung dieser Karten mit viel Zeitaufwand verbunden. Auch die Berechnung und Dokumentation von Löschwasserförderungen über lange Wegstrecken war bisher eine sehr zeitaufwändige Aufgabe._x000D_
_x000D_
„[Wasserkarte.info](http://Wasserkarte.info)“ ist eine neuartige Onlineanwendung, die Feuerwehren bei der Erstellung von Hydrantenkarten und Datenblättern für Löschwasserförderungen über lange Wegstrecken unterstützt._x000D_
_x000D_
Zur Erfassung der einzelnen Wasserentnahmestellen bietet die Plattform ein einfaches Eingabeformular an. Neben den einsatzrelevanten Daten (z.B. Typ, Leistung, Anfahrtsweg, Foto, usw.) wird in diesem Formular auch der exakte Standort mit Hilfe einer Karte erfasst._x000D_
_x000D_
Anschließend werden aus diesen Daten PDF-Datenblätter generiert, die in den Einsatzfahrzeugen abgelegt werden können. Diese Datenblätter sind übersichtlich strukturiert und durch die Verwendung der taktischen Zeichen laut TRVB O 121 leicht verständlich._x000D_
_x000D_
Brände an exponierten Stellen sind eine große Herausforderung für Feuerwehren. Oft muss das Löschwasser über lange Wegstrecken zum Brandort transportiert werden. Dazu werden lange Schlauchleitungen verlegt. Um eine entsprechende Wasserversorgung zu gewährleisten, müssen oft mehrere Verstärkerpumpen eingesetzt werden._x000D_
_x000D_
Die Berechnung und Dokumentation dieser Löschwasserförderungen über längere Wegstrecken ist ein wichtiger Bestandteil einer umfangreichen Einsatzvorbereitung._x000D_
_x000D_
Wasserkarte.info bietet den Feuerwehren ein einfach verständliches Werkzeug, um diese Arbeit zu erleichtern. Auf einer Karte können der Schlauchleitungsverlauf und die Pumpenstandorte eingezeichnet und wichtige Informationen notiert werden. Auch diese Daten können als Datenblätter exportiert und so im Einsatzfahrzeug abgelegt werden._x000D_
_x000D_
++ Automatische Berechnung der Pumpenstandorte_x000D_
_x000D_
In einigen Bundesländern in Österreich ist es bereits möglich, die Pumpenstandorte automatisch zu berechnen. Diese Funktion wird schrittweise für weitere Gebiete ausgebaut. Dadurch ist keine aufwändige händische Berechnung mit Landkarten mehr notwendig._x000D_
Derzeit ist diese Funktion in folgenden Gebieten verfügbar:_x000D_
* Burgenland_x000D_
* Kärnten_x000D_
* Niederösterreich_x000D_
* Oberösterreich_x000D_
* Salzburg (ausgenommen Lungau)_x000D_
* Steiermark_x000D_
* Tirol_x000D_
* Wien_x000D_
_x000D_
_x000D_
Bisher haben sich auf der Plattform „wasserkarte.info“ bereits mehrere tausend Benutzer aus dem deutschsprachigen Raum registriert und die Rückmeldungen zeigen, dass die erstellten Wasserkarten bereits erfolgreich eingesetzt werden._x000D_
_x000D_
Das Projekt wurde bisher mit einer Jury-Auszeichnung im Rahmen des Förderpreises Multimedia und e-Business 2013, dem Edison 2013 in Bronze und dem Constantinus Award in der Kategorie Sonderpreis OpenSource ausgezeichnet. Außerdem ist das Projekt für den Report eAward 2013 in der Kartegorie „Plattformen und Social Media“ nominiert.</t>
  </si>
  <si>
    <t>2024-06-11 06:14:34.129827</t>
  </si>
  <si>
    <t>["2c54f4d6-5712-4e5a-a025-b7f7a396c39b", "6b927530-d5c9-11e3-9c1a-0800200c9a66"]</t>
  </si>
  <si>
    <t>6764e3a0-7b54-4c99-96d5-b77a7e1f9d20</t>
  </si>
  <si>
    <t>hochwasser-krems</t>
  </si>
  <si>
    <t>Hochwasser Krems</t>
  </si>
  <si>
    <t xml:space="preserve">Die Hochwasser-Alarm Windows Phone 8 App für Kremsmünster!_x000D_
_x000D_
Features:_x000D_
* Aktueller Messwert des Krems-Flusses_x000D_
* Standort der Messstation auf Karte_x000D_
* Messwerte der letzten 72 Stunden_x000D_
* Live-Tile/Toast-Nachricht mit Warnung bei Hochwasser -Möglichkeit einen eigenen Warnwert zu wählen_x000D_
</t>
  </si>
  <si>
    <t>2024-06-11 06:14:35.111077</t>
  </si>
  <si>
    <t>100c8af7-a46d-4f7d-ac08-d498c1ef8009</t>
  </si>
  <si>
    <t>spielplaetze-wien-2</t>
  </si>
  <si>
    <t>Spielplätze Wien</t>
  </si>
  <si>
    <t>Diese App ist eine große Hilfe den nächsten Spielplatz in Wien zu finden. Durch den Einsatz von GPS wird die aktuelle Position erkannt und es sollte kein Problem sein bald bald dort zu sein._x000D_
_x000D_
Daten basieren auf Open Government Data Wien [http://data.wien.gv.at/](https://www.data.gv.at/auftritte/?organisation=stadt-wien)_x000D_
_x000D_
Update 2020: die Anwendung ist leider nicht mehr verfügbar.</t>
  </si>
  <si>
    <t>2024-06-11 06:14:43.454916</t>
  </si>
  <si>
    <t>5ed3c889-1bcb-44b4-ad48-a752a9a95226</t>
  </si>
  <si>
    <t>windy-2</t>
  </si>
  <si>
    <t>Windy</t>
  </si>
  <si>
    <t>Windy stellt aktuelle und historische Windgeschwindigkeiten und Richtungen für die Region Niederösterreich in grafisch ansprechender Weise zur Verfügung._x000D_
_x000D_
Modellflieger und alle anderen, die wissen möchten, wohin und wie stark der Wind weht, haben mit Windy einen einfachen und schnellen Zugang zu diesen Informationen._x000D_
_x000D_
Die Winddaten werden vom Land Niederösterreich via &lt;http://data.gv.at&gt; zur Verfügung gestellt.</t>
  </si>
  <si>
    <t>2024-06-11 06:14:33.893717</t>
  </si>
  <si>
    <t>["7810e5a6-88c3-4a69-b7bd-5e69de753b88", "46e591f0-563b-4bdd-bbbd-13b92250edf9"]</t>
  </si>
  <si>
    <t>39c588a1-7cbc-41fa-a5a7-8780e35f28cf</t>
  </si>
  <si>
    <t>wanderwege-wien-2-2</t>
  </si>
  <si>
    <t>Wanderwege Wien</t>
  </si>
  <si>
    <t>Diese App ist eine große Hilfe Wanderwege um Wien zu finden. Durch den Einsatz von GPS wird die aktuelle Position erkannt und es sollte kein Problem sein bald bald dort zu sein._x000D_
_x000D_
Daten basieren auf Open Government Data Wien [http://data.wien.gv.at/](https://www.data.gv.at/auftritte/?organisation=stadt-wien)</t>
  </si>
  <si>
    <t>2024-06-11 06:14:34.874093</t>
  </si>
  <si>
    <t>f120cfc0-ad7c-4e75-9e8b-87aaa0e7cfaf</t>
  </si>
  <si>
    <t>google-public-data-explorer</t>
  </si>
  <si>
    <t>Google Public Data Explorer</t>
  </si>
  <si>
    <t>Google stellt mit dem Portal "Public Data" eine Sammlung an Visualisierungsmöglichkeiten von öffentlich zugänglichen Datensätzen bereit._x000D_
_x000D_
Die Statistikdatensätze aus den Bereichen Budget, Demografie und Wirtschaft aus dem OGD Portal der Stadt Wien wurden von Google eingelesen und können auf verschiedene Art kombiniert und dargestellt werden._x000D_
_x000D_
Es sind Linien-, Balken- und Blasendiagramme ebenso möglich wie eine Darstellung auf einer geographischen Karte. Die Daten können in Relation zueinander gesetzt werden und bei Datensätzen mit Zeitreihen kann eine Animation über die Zeitreihe gestartet werden._x000D_
_x000D_
Die individuell erstellten Visualisierungen können über als Link weitergeleitet werden oder auch in der eigenen Webseite integriert werden.</t>
  </si>
  <si>
    <t>2024-06-11 06:14:31.118741</t>
  </si>
  <si>
    <t>6dd62cb2-a715-4ce6-853f-57879543d968</t>
  </si>
  <si>
    <t>buechereien-in-wien</t>
  </si>
  <si>
    <t>Büchereien in Wien</t>
  </si>
  <si>
    <t>Diese App ist eine große Hilfe die nächste Bücherei in Wien zu finden. Durch den Einsatz von GPS wird die aktuelle Position erkannt und es sollte kein Problem sein bald seine Bücher in den Händen zu halten._x000D_
_x000D_
Daten basieren auf Open Government Data Wien [http://data.wien.gv.at/](https://www.data.gv.at/auftritte/?organisation=stadt-wien)</t>
  </si>
  <si>
    <t>2024-06-11 06:14:34.694687</t>
  </si>
  <si>
    <t>["2adc5a86-faa3-4b63-acff-a66128b811b7"]</t>
  </si>
  <si>
    <t>6dc7c1ae-adf9-4a4b-9ced-44f108167901</t>
  </si>
  <si>
    <t>inveni-wien-2</t>
  </si>
  <si>
    <t>Inveni Wien</t>
  </si>
  <si>
    <t>Konzept eines persönlichen, dynamischen und flexiblen Reiseführers für die Stadt Wien._x000D_
_x000D_
Ziel ist es eine einfache, grüne Navigation mit POIs zu verknüpfen um sowohl dem Touristen, als auch den Wienern die Stadt näher zu bringen.</t>
  </si>
  <si>
    <t>2024-06-11 06:14:34.558352</t>
  </si>
  <si>
    <t>fdc42370-55f5-4743-8fd3-39700a797812</t>
  </si>
  <si>
    <t>story-hunter</t>
  </si>
  <si>
    <t>Story Hunter</t>
  </si>
  <si>
    <t>Story Hunter ist die App für Wiener und Wien-Besucher, die mehr von der Stadt wollen als die typischen Touristenattraktionen. Aufgeteilt auf mehrere Kategorien bietet Story Hunter eine Auswahl an meist weniger bekannten, dafür aber ganz speziellen Orten, die definitiv einen Besuch wert sind.</t>
  </si>
  <si>
    <t>2024-06-11 06:14:46.78931</t>
  </si>
  <si>
    <t>["523ba2e4-8c55-4dde-8acf-39e3621811b0", "8e420764-a913-4eae-8514-9be858fdb9b3", "5f8ecd04-6e84-4ed7-b4d6-3632c5d2b8f4", "354f9aa0-2f0a-4cdf-9b60-d023da93cc76", "f4e80988-c139-4953-8176-b3d6d03f6449", "2ed52078-7e55-40ea-8036-0d89118a06f4", "146384fc-3f64-4482-a78a-2f082411a27d"]</t>
  </si>
  <si>
    <t>bc401312-599c-48da-9f49-5f4f6b45f4c3</t>
  </si>
  <si>
    <t>realnutzungskartierung-wien</t>
  </si>
  <si>
    <t>Realnutzungskartierung Wien</t>
  </si>
  <si>
    <t>Diese App zeigt die Realnutzungskartierung von Wien._x000D_
_x000D_
Daten basieren auf Open Government Data Wien [http://data.wien.gv.at/](https://www.data.gv.at/auftritte/?organisation=stadt-wien)</t>
  </si>
  <si>
    <t>2024-06-11 06:14:34.80278</t>
  </si>
  <si>
    <t>["2f5baa1f-208c-42c2-8d04-9ea74aa1b229"]</t>
  </si>
  <si>
    <t>58c3df93-07aa-436c-b0f8-f59e45fb80d8</t>
  </si>
  <si>
    <t>open-data-in-oberosterreich</t>
  </si>
  <si>
    <t>Open Data in Oberösterreich</t>
  </si>
  <si>
    <t>Welche Daten bietet Oberösterreich an – und sind sie auch sinnvoll? Ich habe einen Blick drauf geworfen und eine Infografik vom aktuellen Stand erstellt._x000D_
_x000D_
Auf data.ooe.gv.at werden 112 Datensätze veröffentlicht (Stand Ende 2013). Sie gliedern sich in 337 Dateien und 2 Diensten. Im einzelnen sind das ein RSS Feed, ein webbasierter Dienst, eine KMZ-Datei, 10 PDF-Dateien, 15 Bilder, 54 Shapefiles, 105 CSV-Dateien und 152 Textdateien. Die PDF-Dateien sind entweder Erklärungen zu einem Datensatz oder eine Visualisierung eines parallel vorhandenen CSV-Datensatzes._x000D_
_x000D_
Weitere Details? Schaut euch die Grafik an.</t>
  </si>
  <si>
    <t>2024-06-11 06:14:34.460343</t>
  </si>
  <si>
    <t>de9b4120-ef6a-440a-ac62-d9605d890fed</t>
  </si>
  <si>
    <t>einfach-parken-wien-free-2</t>
  </si>
  <si>
    <t>Einfach Parken Wien FREE</t>
  </si>
  <si>
    <t xml:space="preserve">Einfach Parken Wien FREE gibt Ihnen sämtliche notwendige Informationen rund ums Parken auf der Straßen der wunderschönen österreichischen Hauptstadt, ganz egal ob Sie auf Dienstreise oder auf Urlaub sind, oder einfach Hilfe brauchen um den besten Platz für Ihr Auto zu finden._x000D_
_x000D_
Funktionen:_x000D_
* Sofort wissen ob Sie sich in einer Kurzparkzone befinden_x000D_
* Kontrollieren ob sich eine bestimmte Position auf dem Stadtplan in einer Kurzparkzone befindet_x000D_
* Alle Behindertenparkplätze der Stadt auf dem Plan sehen_x000D_
* Die Liste der Behindertenparkplätze nach Entfernung geordnet sehen_x000D_
</t>
  </si>
  <si>
    <t>2024-06-11 06:14:35.175517</t>
  </si>
  <si>
    <t>["6858b208-62bc-424e-9d7b-c89b74d3d3e3", "aa8876c7-9711-4969-b428-34400f2d0dbe", "2ee6b8bf-6292-413c-bb8b-bd22dbb2ad4b", "4315e096-f51e-4b56-8235-57be9789a62c"]</t>
  </si>
  <si>
    <t>bd1022f2-5fdc-4f8b-8594-1714492ba379</t>
  </si>
  <si>
    <t>wienplan-2</t>
  </si>
  <si>
    <t>WienPlan</t>
  </si>
  <si>
    <t xml:space="preserve">Mobiler Stadtplan mit einer nützliche Zusammenstellung aller wichtigen OpenData POIs der Stadt Wien._x000D_
_x000D_
Navigation:_x000D_
* 3D Navigationsmodus_x000D_
* Möglichkeit der Sprachausgabe der Route_x000D_
* Fussgänger und Autofahrer Modus_x000D_
_x000D_
_x000D_
Die Point Of Interests (POI) werden von OpenData der Stadt Wien bezogen und beinhalten beispielsweise:_x000D_
* Polizeistationen_x000D_
* Spitäler_x000D_
* car sharing_x000D_
* Taxistandplätze_x000D_
* Mistplätze_x000D_
* Sehenswürdigkeiten_x000D_
* Märkte_x000D_
* Museen_x000D_
* Bibliotheken_x000D_
</t>
  </si>
  <si>
    <t>2024-06-11 06:14:46.754958</t>
  </si>
  <si>
    <t>["298e6b5a-21a8-4d56-9484-1bac58c94a26", "5d642d09-8e03-4200-a79b-2a397a6d5d51", "be2e0197-57b8-4fcf-a144-cb33f7466f3a", "146384fc-3f64-4482-a78a-2f082411a27d", "898afe8c-0297-45d6-b4b5-0cb9e632094b", "72fbf32e-c8c3-4914-92a1-66dc2439a114", "523ba2e4-8c55-4dde-8acf-39e3621811b0", "c6fc4688-1aca-4363-bd1a-8d14ea08d2f8", "f4e80988-c139-4953-8176-b3d6d03f6449", "6f412521-2e9b-44b1-a3e4-8f1358caef63", "54fc7750-8540-4c22-8d46-9a6a2641c41a", "2adc5a86-faa3-4b63-acff-a66128b811b7", "aab0a0be-89e6-442e-8cf9-e762bd18f76b", "96196887-5a20-4e93-a302-72f306f32c9d"]</t>
  </si>
  <si>
    <t>6f93a16c-081d-4442-a765-04a03744464f</t>
  </si>
  <si>
    <t>live-linz-veranstaltungen</t>
  </si>
  <si>
    <t>LiVe - Linz Veranstaltungen</t>
  </si>
  <si>
    <t>Die App „LiVe – Linz Veranstaltungen“ bietet aktuelle Informationen zu Veranstaltungen in Linz. Sie ermöglicht einen einfachen Zugang um Veranstaltungen unterwegs abzurufen. Ein einziger Tastendruck genügt um schnell und bequem einen Überblick über Veranstaltungen, die heute bzw. morgen stattfinden, zu erhalten. Zusätzlich kann man mittels individueller Suche, Veranstaltungen nach Zeitraum und Kategorie (Ausstellungen, Literatur, Musik ...) abfragen. Zeigt man für eine Veranstaltung besonderes Interesse, erhält man durch die Beschreibungstexte und Weblinks detaillierte Informationen. Möchte man eine Veranstaltung unter gar keinen Umständen verpassen, so besteht die Möglichkeit diese im Kalender zu speichern. Besitzer von Geräten mit Android 2.2 und höher können die App auf die externe Speicherkarte auslagern._x000D_
_x000D_
Die Daten werden von der städtischen Veranstaltungsplattform Linztermine bezogen.</t>
  </si>
  <si>
    <t>2024-06-11 06:14:30.767035</t>
  </si>
  <si>
    <t>["bb596b23-4096-4d65-861c-a94e7cebf7e2"]</t>
  </si>
  <si>
    <t>371cf88f-9152-4bcf-a085-f49676e9c1b1</t>
  </si>
  <si>
    <t>linz-pflueckt</t>
  </si>
  <si>
    <t>Linz Pflückt</t>
  </si>
  <si>
    <t>Linz Pflückt zeigt mehr als 2000 öffentliche Obstbäume der Stadt. Die Basisdaten stammen von den Stadtgärten Linz und enthalten Informationen zu Art, Gattung, Baumhöhe usw. ergänzt um Informationen wie Reifezeit und Früchtekategorie._x000D_
_x000D_
Die Früchte der Bäume sind frei verfügbares Gemeingut, das von jeder Person gepflückt und gegessen werden darf! Schauen Sie sich die Bäume an und lassen Sie sich die Früchte schmecken!_x000D_
_x000D_
Sie als Obstfan sind eingeladen, die Früchte zu bewerten, die Bäume zu kommentieren und um Fotos anzureichern. Durch Ihre Information gewinnt das Projekt an Nutzbar- und Nützlichkeit._x000D_
_x000D_
Besitzer anderer Mobiltelefone können die Webseite direkt in ihrem Browser verwenden, sollte soweit responsive sein und sich somit auf euer Handydisplay anpassen.</t>
  </si>
  <si>
    <t>2024-06-11 06:14:47.61385</t>
  </si>
  <si>
    <t>["f660cf3f-afa9-4816-aafb-0098a36ca57d"]</t>
  </si>
  <si>
    <t>54b95af9-e99e-4aa9-9aa3-0f991c351ec8</t>
  </si>
  <si>
    <t>adressservice-unterstuetzung-fuer-geocoder-php-bibliothek</t>
  </si>
  <si>
    <t>Adressservice-Unterstützung für geocoder-php Bibliothek</t>
  </si>
  <si>
    <t>Geocoder ist eine PHP Bibliothek, die bei der Entwicklung von geobasierten Applikationen unterstützt. Sie bietet einen Abstraktionslayer für Geokodierungs-Operationen sowie eine umfangreiche API._x000D_
_x000D_
Um auch das OGD Wien Adressservice damit nutzen zu können, wurde die Bibliothek um einen zusätzlichen Adapter erweitert. Dieser Adapter ist im "[Geocoder Extra](https://github.com/geocoder-php/geocoder-extra)"-Paket verfügbar, welche zusätzlich zur [Geocoder-Bibliothek](https://github.com/geocoder-php/Geocoder) geladen werden muss, um dieses nutzen zu können._x000D_
_x000D_
Offizielle Seite des geocoder-Projekts inklusive Links zur Dokumentation und Beispielen für die Implementierung: &lt;http://geocoder-php.org/&gt;</t>
  </si>
  <si>
    <t>2024-06-11 06:14:40.680372</t>
  </si>
  <si>
    <t>["c223b93a-2634-4f06-ac73-8709b9e16888"]</t>
  </si>
  <si>
    <t>8c61ac3f-b84f-4d63-8d3a-8e5af14ca17b</t>
  </si>
  <si>
    <t>beratungsstellen-oo</t>
  </si>
  <si>
    <t>Beratungsstellen OÖ</t>
  </si>
  <si>
    <t>Sie wollen schnell und unkompliziert Kontakt mit einer Alkohol und/oder Sucht- &amp; Drogenberatungsstelle in Oberösterreich Kontakt aufnehmen? Kein Problem! Diese App bietet ihnen einen guten Überblick über sämtliche verfügbare Beratungsstellen sowie deren Kontaktdaten._x000D_
_x000D_
Sie haben die Möglichkeit direkt über die App mit der Beratungsstelle Kontakt aufzunehmen (Anruf und/oder Email), sich die Position auf einer Karte anzeigen lassen oder die Kontaktdaten per SMS oder Email zu verschicken._x000D_
_x000D_
Über eine sofortige Hilfefunktion können Sie sich die jeweils nächstgelegene Alkohol- und Sucht und Drogenberatungsstelle ermitteln lassen und ebenfalls wieder Kontakt aufnehmen, die Position auf einer Karte anzeigen lassen oder die Kontaktdaten verschicken.</t>
  </si>
  <si>
    <t>2024-06-11 06:14:34.199904</t>
  </si>
  <si>
    <t>602f14ba-cc30-4d29-8b93-1ed308311562</t>
  </si>
  <si>
    <t>oberoesterreichs-naturdenkmaeler-und-oekoflaechen</t>
  </si>
  <si>
    <t>Oberösterreichs Naturdenkmäler und Ökoflächen</t>
  </si>
  <si>
    <t>Die Applikation stellt eine Visualisierung der Open Data Datensätze Naturdenkmäler und Ökoflächen des Landes Oberösterreich für Browser und mobile Geräte dar. Sie zeigt auf der freien Verwaltungsgrundkarte von Österreich zirka 750 Naturdenkmäler und Ökoflächen mit Beschreibungen, Lageinformationen und Bildern des Geographischen Naturschutz Informationssystems GENISYS.</t>
  </si>
  <si>
    <t>2024-06-11 06:14:34.096882</t>
  </si>
  <si>
    <t>84fe57b5-8412-4f6d-ae6b-471b39822ea4</t>
  </si>
  <si>
    <t>offlex-oo-offline-lexikon-oberosterreich</t>
  </si>
  <si>
    <t>Offlex OÖ (offline Lexikon Oberösterreich)</t>
  </si>
  <si>
    <t>Mit der Offlex OÖ App, soll es den Menschen möglich gemacht werden, so einfach wie möglich an Information zu kommen, ohne ständig einen online Zugang zu haben. Offlex OÖ enthält alle wissenswerten Daten Oberösterreichs, klar strukturiert und vereint in einer App, um dem Nutzer einen schnellen Zugang zu ermöglichen._x000D_
_x000D_
Hinweis: das Konzept ist aktuell nicht aufrufbar, der Autor wurde kontaktiert.</t>
  </si>
  <si>
    <t>2024-06-11 06:14:51.992232</t>
  </si>
  <si>
    <t>2183e7ee-7596-4e82-a658-b9fcdb8746a9</t>
  </si>
  <si>
    <t>young-policy-2</t>
  </si>
  <si>
    <t>Young Policy</t>
  </si>
  <si>
    <t>In dieser App können sich Jugendliche schnell und einfach über Politik informieren. Besitzer dieser App erfahren zusätzlich zu den Informationen einer Partei, wie sie sich aktiv bei der jeweiligen Partei beteiligen können. Weiters erfahren sie Wahlergebnisse vergangener Wahlen und erhalten einen überblick Termine kommender Wahlen. Die App ist einfach zu bedienen und eine spannende Möglichkeit das Interesse Jugendlicher für Politik zu wecken.</t>
  </si>
  <si>
    <t>2024-06-11 06:14:34.264607</t>
  </si>
  <si>
    <t>0fef78d9-78b7-4aa6-a6e9-7d4106eadce7</t>
  </si>
  <si>
    <t>oeffentliche-wc-wien</t>
  </si>
  <si>
    <t>Öffentliche WC Wien</t>
  </si>
  <si>
    <t>Diese App ist eine große Hilfe die nächste öffentliche Toilette in Wien zu finden. Durch den Einsatz von GPS wird die aktuelle Position erkannt und es sollte kein Problem sein bald bald dort zu sein._x000D_
_x000D_
Daten basieren auf Open Government Data Wien [http://data.wien.gv.at/](https://www.data.gv.at/auftritte/?organisation=stadt-wien)</t>
  </si>
  <si>
    <t>2024-06-11 06:14:46.821119</t>
  </si>
  <si>
    <t>a93208c4-3619-4438-85fe-ccaa0c0e3e6b</t>
  </si>
  <si>
    <t>your-perfect-spot-oo</t>
  </si>
  <si>
    <t>Your Perfect Spot OÖ</t>
  </si>
  <si>
    <t>Diese App soll die Suche nach einer neuen Heimat erleichtern. Man kann nach einer Adresse in OÖ oder nach seiner GPS-Position suchen, welche anschließend auf einer Doris-Karte angezeigt wird._x000D_
_x000D_
Nun kann man verschiedene Layer (z.B.: Hochwasser Risikozonen, Standorte von Pflichtschulen, ...) über die Karte legen, welche offene Datensätze visuell darstellen. So sieht der User, ob das von ihm gewählte Gebiet Potential als neue Heimat hat.</t>
  </si>
  <si>
    <t>2024-06-11 06:14:34.36353</t>
  </si>
  <si>
    <t>bc6cc24d-6d02-4d51-873b-62290b056a65</t>
  </si>
  <si>
    <t>freizeitplaner-ooe-2</t>
  </si>
  <si>
    <t>Freizeitplaner OÖ</t>
  </si>
  <si>
    <t>Die App soll allen neugierigen Touristen, sowie auch jedem der Oberösterreich entdecken will helfen, verschiedenste Möglichkeiten für die Freizeitplanung zu finden. Durch die vielen Bereiche, welche die App behandelt, spricht sie alle Altersgruppen von jung bis alt an. Man kann sowohl eine geeignete Partylocation für eine unterhaltsame Nacht suchen, sowie auch einen Ort (z.B. Park) an dem man sich in Ruhe entspannen kann. Da die App auch alle möglichen Unterkünfte für die Nacht in Oberösterreich aufzeigt, eignet sie sich auch gut, um kurzfristig oder länger geplant einen Schlafplatz zu finden und um Reisen zu planen.</t>
  </si>
  <si>
    <t>2024-06-11 06:14:34.298564</t>
  </si>
  <si>
    <t>3703fb08-ef3b-4936-94cb-b6d8b712713a</t>
  </si>
  <si>
    <t>bushaltestellen-in-wien</t>
  </si>
  <si>
    <t>Bushaltestellen in Wien</t>
  </si>
  <si>
    <t>Diese App ist eine große Hilfe die nächste Bushaltestelle in Wien zu finden. Durch den Einsatz von GPS wird die aktuelle Position erkannt und es sollte kein Problem sein bald bald dort zu sein._x000D_
_x000D_
Daten basieren auf Open Government Data Wien [http://data.wien.gv.at/](https://www.data.gv.at/auftritte/?organisation=stadt-wien)</t>
  </si>
  <si>
    <t>2024-06-11 06:14:34.591488</t>
  </si>
  <si>
    <t>["f1f6f15d-2faa-4b62-b78b-80599dd1c66e"]</t>
  </si>
  <si>
    <t>c76cd967-9b77-417b-8270-93741946fb98</t>
  </si>
  <si>
    <t>nkguide</t>
  </si>
  <si>
    <t>NKguide</t>
  </si>
  <si>
    <t>Diese App soll den Menschen das Recherchieren erleichtern. Man muss sich für die App registrieren um mit anderen Usern über schöne Wanderwege chatten zu können, oder aber auch um Meinungen über Hütten und anderes auszutauschen. Dazu braucht man eine E-Mail-Adresse und einen Usernamen, den man beim Registrieren angeben muss. NK-guide würde sehr praktisch für unterwegs sein, da man sehr schnell Informationen herausfinden kann.</t>
  </si>
  <si>
    <t>2024-06-11 06:14:34.329591</t>
  </si>
  <si>
    <t>72c33b56-45c7-406b-8ae8-6d56e37a8088</t>
  </si>
  <si>
    <t>basemapplus-ooe-2</t>
  </si>
  <si>
    <t>BaseMapPlus OÖ</t>
  </si>
  <si>
    <t>BaseMapPlus OÖ ist ein nativer Client zum Anzeigen der österreichischen Basemap (basemap.at). Zusätzlich kann die Karte mit markanten Punkten des Landes Oberösterreich angereichert werden.</t>
  </si>
  <si>
    <t>2024-06-11 06:14:34.395525</t>
  </si>
  <si>
    <t>370049b8-f741-4620-98a8-19d0e80ee2ce</t>
  </si>
  <si>
    <t>little-knight</t>
  </si>
  <si>
    <t>Little Knight</t>
  </si>
  <si>
    <t>Der kleine Ritter (Little Knight) will seine Angebetete aus den Klauen der Bösewichter befreien. Diese verstecken sie auf einer Burg mitten in Oberösterreich. Der kleine Ritter stellt sich der Herausforderung und kämpft sich durch ganz Oberösterreich um am Ende seine Liebste in den Armen halten zu können._x000D_
_x000D_
Um ihm zu helfen braucht man ein Smartphone (und die noch zu erstellende App). In 16 Leveln muss man durch Wissen, Geschick und ein wenig Glück einsetzen um das Ziel zu erreichen. In jedem Level durchquert man einen Bezirk in Oberösterreich, beginnend mit Braunau am Inn, und dann spiralförmig von außen nach Innen, bis man im letzten Level in Linz das Finale gegen die Bösewichter spielen muss.</t>
  </si>
  <si>
    <t>2024-06-11 06:14:34.429586</t>
  </si>
  <si>
    <t>759852cf-4979-43da-8d5a-629227c6de0a</t>
  </si>
  <si>
    <t>museen-in-wien-2</t>
  </si>
  <si>
    <t>Museen in Wien</t>
  </si>
  <si>
    <t>Diese App ist eine große Hilfe Museen in Wien zu finden. Durch den Einsatz von GPS wird die aktuelle Position erkannt und es sollte kein Problem sein bald bald dort zu sein._x000D_
_x000D_
Daten basieren auf Open Government Data Wien [http://data.wien.gv.at/](https://www.data.gv.at/auftritte/?organisation=stadt-wien)</t>
  </si>
  <si>
    <t>2024-06-11 06:14:34.65577</t>
  </si>
  <si>
    <t>b622f0b3-9a3f-496e-9e39-359f5b2f827f</t>
  </si>
  <si>
    <t>graz-events-2</t>
  </si>
  <si>
    <t>Graz Events</t>
  </si>
  <si>
    <t xml:space="preserve">Finde Veranstaltungen in Graz und behalte sie im Überblick. Du kannst diese zum Terminkalender hinzufügen, mit Freunden teilen, nach ihnen suchen oder sie favorisieren._x000D_
Die Daten von  [http://kulturserver-graz.at](https://owa0a.portal.at/owa/data@brz.gv.at/redir.aspx?C=9o6TqbMfyE6izJbXcO2MoJn9ZzJm99AIvm67swc2Lc_TWMNky_ReMc0oMraP_lJem38_Z3byEGA.&amp;URL=http%3a%2f%2fkulturserver-graz.at) beinhalten Veranstaltungen der Kategorien Musik, Theater, Ausstellung, Führung, Kinder/Jugend, Grenzenlos, Kabarett, Vortrag und Film. </t>
  </si>
  <si>
    <t>2024-06-11 06:14:34.492444</t>
  </si>
  <si>
    <t>["f36e3404-c711-4f35-8312-757d6a6691f2"]</t>
  </si>
  <si>
    <t>8c7110bb-0954-450e-84d3-878a5f781184</t>
  </si>
  <si>
    <t>wo-ist-das-tirol</t>
  </si>
  <si>
    <t>Wo ist das? - Tirol</t>
  </si>
  <si>
    <t xml:space="preserve">Die Anwendung ist ein Spiel für Android-Nutzer, das aus dem Play Store heruntergeladen werden kann. Nach dem Start der App, kann der Nutzer wählen, ob er alleine oder gegen einen zweiten Spieler antreten möchte. Sobald er dies getan hat, startet das Spiel. In acht Runden werden dem Spieler verschiedene, zufällig gewählte Orte aus Tirol gezeigt, die er auf einer stummen Karte finden soll. Hat der Nutzer einen Punkt auf der Karte markiert, kann er dies bestätigen und erhält sofort die Auflösung sowie die Entfernung zum angegebenen Punkt. Spielt ein zweiter Spieler mit, so muss dieser anschließend den selben Punkt finden. Am Ende des Spiels wird die Gesamtentfernung angezeigt. Bei zwei Spielern gewinnt derjenige mit der kleineren Gesamtabweichung. Nun kann entschieden werden, ob ein neues Spiel begonnen wird, oder man das Spiel beenden möchte._x000D_
_x000D_
Die Punkte, die gefunden werden müssen, stammen aus folgenden Kategorien:_x000D_
* Adressen_x000D_
* Burgen_x000D_
* Naturdenkmäler_x000D_
* Postleitzahlen_x000D_
* Skigebiete_x000D_
* Bilder_x000D_
</t>
  </si>
  <si>
    <t>2024-06-11 06:14:28.82736</t>
  </si>
  <si>
    <t>["d8beefc9-cf72-4e2c-9a78-fa1532dee407"]</t>
  </si>
  <si>
    <t>f5d6a448-7df5-4a3f-a5eb-bc11f16aeb32</t>
  </si>
  <si>
    <t>wedding-planner</t>
  </si>
  <si>
    <t>Wedding Planner</t>
  </si>
  <si>
    <t xml:space="preserve">Der Hochzeitsplaner soll Mann und Frau bei der Hochzeitsplanung helfen und sie unterstützen. </t>
  </si>
  <si>
    <t>2024-06-11 06:14:35.41293</t>
  </si>
  <si>
    <t>ad4c0ab5-73cb-4203-b78c-519a6a90ce46</t>
  </si>
  <si>
    <t>rtr-netztest-analyse</t>
  </si>
  <si>
    <t>RTR-Netztest Analyse</t>
  </si>
  <si>
    <t xml:space="preserve">Statistische Analysen und Visualisierungen der RTR-Netztest Daten. Geographische Verknüpfung, Normalisierung auf Bevölkerungsdichte und Evaluierung der Performance in verschiedenen Dimensionen. Bereitstellung eines Samples im R-Format. </t>
  </si>
  <si>
    <t>2024-06-11 06:14:27.930915</t>
  </si>
  <si>
    <t>["13a9f9d7-f013-4b12-a990-387714039247", "2c54f4d6-5712-4e5a-a025-b7f7a396c39b"]</t>
  </si>
  <si>
    <t>ab667a21-2380-4188-9f05-170f2e4fe62b</t>
  </si>
  <si>
    <t>hundezonen-in-wien</t>
  </si>
  <si>
    <t>Hundezonen in Wien</t>
  </si>
  <si>
    <t>Diese App ist eine große Hilfe die nächste Hundezone oder den nächsten Sackerlspender in Wien zu finden. Durch den Einsatz von GPS wird die aktuelle Position erkannt und es sollte kein Problem sein bald bald dort zu sein._x000D_
_x000D_
Daten basieren auf Open Government Data Wien [http://data.wien.gv.at/](https://www.data.gv.at/auftritte/?organisation=stadt-wien)</t>
  </si>
  <si>
    <t>2024-06-11 06:14:34.729189</t>
  </si>
  <si>
    <t>["28a7419c-f432-4e1a-b0a6-aa9e71968a14"]</t>
  </si>
  <si>
    <t>9e646788-b9e3-4992-80b0-49ac3ce172c8</t>
  </si>
  <si>
    <t>parkuhren-wien-2</t>
  </si>
  <si>
    <t>Parkuhren Wien</t>
  </si>
  <si>
    <t>This app let's you find all parking meters in Vienna. Via GPS your current position is be shown, so you should have no problem to find one._x000D_
_x000D_
Data is based on Open Government Data Vienna.  [http://data.wien.gv.at](https://www.data.gv.at/auftritte/?organisation=stadt-wien)</t>
  </si>
  <si>
    <t>2024-06-11 06:14:40.322539</t>
  </si>
  <si>
    <t>f14e16bd-a7b8-47a9-ba21-5e8afd726216</t>
  </si>
  <si>
    <t>taxi-wien-2-2</t>
  </si>
  <si>
    <t>Diese App ist eine große Hilfe den nächsten Taxistand in Wien zu finden. Durch den Einsatz von GPS wird die aktuelle Position erkannt und es sollte kein Problem sein bald bald dort zu sein._x000D_
_x000D_
Daten basieren auf Open Government Data Wien [http://data.wien.gv.at/](https://www.data.gv.at/auftritte/?organisation=stadt-wien)</t>
  </si>
  <si>
    <t>2024-06-11 06:14:34.910196</t>
  </si>
  <si>
    <t>a75c772d-97b7-4e59-9e42-7727f3204322</t>
  </si>
  <si>
    <t>u-bahn-wien</t>
  </si>
  <si>
    <t>U-Bahn Wien</t>
  </si>
  <si>
    <t>Diese App ist eine große Hilfe die nächste U-Bahnstation in Wien zu finden. Durch den Einsatz von GPS wird die aktuelle Position erkannt und es sollte kein Problem sein bald bald dort zu sein._x000D_
_x000D_
Daten basieren auf Open Government Data Wien [http://data.wien.gv.at/](https://www.data.gv.at/auftritte/?organisation=stadt-wien)</t>
  </si>
  <si>
    <t>2024-06-11 06:14:34.94366</t>
  </si>
  <si>
    <t>["f1f6f15d-2faa-4b62-b78b-80599dd1c66e", "36a8b9e9-909e-4605-a7ba-686ee3e1b8bf"]</t>
  </si>
  <si>
    <t>ec805295-3ce0-4057-9166-31bf2d3baddc</t>
  </si>
  <si>
    <t>fundboxen-in-wien</t>
  </si>
  <si>
    <t>Fundboxen in Wien</t>
  </si>
  <si>
    <t>Diese App ist eine große Hilfe die nächste Fundbox in Wien zu finden. Durch den Einsatz von GPS wird die aktuelle Position erkannt und es sollte kein Problem sein bald bald dort zu sein._x000D_
_x000D_
Daten basieren auf Open Government Data Wien [http://data.wien.gv.at/](https://www.data.gv.at/auftritte/?organisation=stadt-wien)</t>
  </si>
  <si>
    <t>2024-06-11 06:14:35.044462</t>
  </si>
  <si>
    <t>["8e420764-a913-4eae-8514-9be858fdb9b3"]</t>
  </si>
  <si>
    <t>8b8b3f24-9997-42d5-a4ca-8dfef837eccf</t>
  </si>
  <si>
    <t>vienna-city-bike-2</t>
  </si>
  <si>
    <t>Vienna City Bike</t>
  </si>
  <si>
    <t>Find the next CityBike Location with your BlackBerry 10 Device.</t>
  </si>
  <si>
    <t>2024-06-11 06:14:35.075753</t>
  </si>
  <si>
    <t>99ed543e-0d14-4abc-aa20-7877868d9653</t>
  </si>
  <si>
    <t>nature-care</t>
  </si>
  <si>
    <t>Nature Care</t>
  </si>
  <si>
    <t>Die App soll Nutzer dabei unterstützen, Nationale Schutzgebiete leicht und schnell ausfindig zu machen.</t>
  </si>
  <si>
    <t>2024-06-11 06:14:35.143873</t>
  </si>
  <si>
    <t>4166cc23-eae0-49b2-88fe-7b79868f131b</t>
  </si>
  <si>
    <t>eu-wahl-2014-die-ergebnisse-in-ihrer-gemeinde</t>
  </si>
  <si>
    <t>EU-Wahl 2014 - Die Ergebnisse in Ihrer Gemeinde</t>
  </si>
  <si>
    <t>Wie Ihre Region bei der EU-Wahl 2014 abgestimmt hat - hier finden Sie die Wahlbeteiligung und Wahlergebnisse der einzelnen Gemeinden und Bezirke.</t>
  </si>
  <si>
    <t>2024-06-11 06:14:35.683404</t>
  </si>
  <si>
    <t>466cc59f-3e5f-4905-b1cb-d03c2d4b0d04</t>
  </si>
  <si>
    <t>wave</t>
  </si>
  <si>
    <t>Wave</t>
  </si>
  <si>
    <t>Ob U-Bahn, Bim, Bus, City Bike oder Car2Go: Die neue App Wave kennt sich aus und führt den Benutzer verlässlich durch Wien. Mobilitätsinfos in Echtzeit und mit Spracherkennung – Fragen wie „Wann kommt die nächste U1?“, „Ich brauche ein City Bike!“ oder „Wo ist ein Car2Go?“ werden im Handumdrehen beantwortet. Die App kommuniziert innerhalb weniger Sekunden mit zahlreichen offenen Datenquellen der Stadt Wien und zeigt zB. den Standort des nächsten Car2Go, Die Öffi Route zum Stephansplatz oder den Bestand der City Bike Boxen in der Umgebung an._x000D_
### Wave fasst Mobilitätsdaten in Wien zusammen_x000D_
_x000D_
_x000D_
Wave punktet mit leichter Bedienbarkeit und intelligenter Spracherkennung. Einfach Wave starten und sagen, was man braucht. Spezielle Ausdrucksformen oder Befehle sind nicht notwendig, um mit Wave zu kommunizieren. Im Gegenteil: Je mehr du mit Wave sprichst, umso besser versteht sie dich._x000D_
_x000D_
Darüber hinaus ist die App dank neuester iOS9 Technologien in der Lage, dem Benutzer angezeigte Inhalte und Informationen vorzulesen, und setzt damit ein Zeichen für mehr Barrierefreiheit._x000D_
### Preise_x000D_
_x000D_
_x000D_
Wave überzeugte auch die Jury der ESA (European Space Agency) App Challenge im Oktober 2015, welche die Mobilitäts-App mit dem begehrten Copernicus Masters App Challenge Preis auszeichnete. Wave konnte sich dabei gegen mehr als 200 Einreichungen aus fast 50 Ländern durchsetzen._x000D_
### Ohne Open Data würde Wave nichts wissen_x000D_
_x000D_
_x000D_
Tatsächlich greift die App hauptsächlich auf offene Datenquellen zu, denn „ohne offene Daten würde Wave nichts wissen“. Entsprechend setzt sich Wolowicz für Open Data und dessen Nutzung ein. 2013 gründete er zusammen mit Robert Seyfriedsberger die „[Offene Öffis](https://www.offene-offis.at)“ Initiative, die sich für Open Data bei den öffentlichen Verkehrsmitteln engagiert und wesentlich dazu beitrug, die Daten der Wiener Linien auch für Projekte wie Wave nutzbar zu machen.</t>
  </si>
  <si>
    <t>2024-06-11 06:14:50.367028</t>
  </si>
  <si>
    <t>["9c203fec-dc0d-412c-a7a3-7fd77d0346f1", "522d3045-0b37-48d0-b868-57c99726b1c4", "523ba2e4-8c55-4dde-8acf-39e3621811b0", "d0145df8-7f6d-46e1-9bc6-ee7897054104", "c91a4635-8b7d-43fe-9b27-d95dec8392a7"]</t>
  </si>
  <si>
    <t>00873259-7bf0-4909-bd26-17090d26a8bb</t>
  </si>
  <si>
    <t>tip-destinations</t>
  </si>
  <si>
    <t>Länderdatenbank für Reisebüro/Reiseveranstalter MitarbeiterInnen.</t>
  </si>
  <si>
    <t>2024-06-11 06:14:35.241086</t>
  </si>
  <si>
    <t>["405a0d29-0a62-45a7-a4d4-56c28e3255ab", "fccc37ac-e4cd-4265-8d4d-5b465e19b1a3"]</t>
  </si>
  <si>
    <t>39b4c5a7-caf2-49d2-b66d-4e78385ed364</t>
  </si>
  <si>
    <t>dogator</t>
  </si>
  <si>
    <t>Dogator</t>
  </si>
  <si>
    <t>Alle Wiener Hundezonen, Sackerl-fürs-Gackerl-Spender, Tierärzte und Tierkliniken in einer App. Finde immer den schnellsten Weg zu deinem gewünschten Ziel, mit der Routenplaner Funktion. Check via Facebook in deiner Hundezone ein und informieren auch gleich deine Freunde und Bekannten._x000D_
_x000D_
Mit der Funktion „Lost Dog“ kannst du rasch einen virtuellen Steckbrief mit dem letztbekannten Standort deines Liebsten erstellen und alle Hundefreunde können dich bei deiner Suche unterstützen._x000D_
_x000D_
Jede Hundezone kann von dir bewertet, mit Fotos visuell aufgewertet und Meinungen mit der Kommentarfunktion ausgetauscht werden. Mit dem Kalender kannst du dir außerdem einfach und bequem Treffen mit deinen Hundefreunden ausmachen.</t>
  </si>
  <si>
    <t>2024-06-11 06:14:35.584122</t>
  </si>
  <si>
    <t>["28a7419c-f432-4e1a-b0a6-aa9e71968a14", "98908792-f315-4834-9b5e-20fed66cbe5a"]</t>
  </si>
  <si>
    <t>e28bc145-6da7-4402-a162-0f3b8521f9ad</t>
  </si>
  <si>
    <t>poibase</t>
  </si>
  <si>
    <t>POIbase</t>
  </si>
  <si>
    <t>POIbase ist eine kostenlose PC Software zur einfachen Installation von POIs auf dem Navigationssystem. POIbase erkennt automatisch das angeschlossene Navigationssystem und installiert genau das benötigte POI-Format. Die Software kann über die POIbase Webseite &lt;http://www.poibase.com/de/pocketnavigation/&gt; heruntergeladen werden. Unter anderem finden sich dort die offenen Daten der Stadt Wien, die auf einer Karte dargestellt werden können, sowie viele andere POIs.</t>
  </si>
  <si>
    <t>2024-06-11 06:14:46.855175</t>
  </si>
  <si>
    <t>["97ef14eb-f280-48a7-96c0-df03859b06c2", "455cf48c-cdee-4721-a0ed-cd38af7aff0f", "7fcf7f09-12d7-4b06-a183-93c51f940670", "cda1b8eb-40ef-4229-9417-2ba29ea816dd", "aac2629e-495d-4468-9c8b-cd9649bd7b5d", "7c6e9dbf-487b-4146-a379-19e46642c392", "2adc5a86-faa3-4b63-acff-a66128b811b7", "826d798e-01d1-48d3-973c-e0e466a63ca8", "a42cbe4f-89f0-42ae-a34d-f2e5db6aa1d2", "de64ade8-5025-40f9-a2e0-15b72797e6a7", "72fbf32e-c8c3-4914-92a1-66dc2439a114", "523ba2e4-8c55-4dde-8acf-39e3621811b0", "96196887-5a20-4e93-a302-72f306f32c9d", "4e8d237b-8bd4-4483-a85d-431784c543b9", "8e454ce2-435e-4352-962b-1bf4e4303301", "e8b9bb31-5ad1-4cc3-a0ae-177c93671d0b", "d9321ccf-d303-4cfb-a24b-32aba49cef81", "8e420764-a913-4eae-8514-9be858fdb9b3", "c6fc4688-1aca-4363-bd1a-8d14ea08d2f8", "21fca925-12ac-4215-ba1a-a9c73cb3b082", "28a7419c-f432-4e1a-b0a6-aa9e71968a14", "7035def0-a9df-430a-99ee-6e13de12676c", "87f121a7-eef0-4be9-9372-a5efe5b4d375", "5d642d09-8e03-4200-a79b-2a397a6d5d51", "aab0a0be-89e6-442e-8cf9-e762bd18f76b", "54fc7750-8540-4c22-8d46-9a6a2641c41a", "5f8ecd04-6e84-4ed7-b4d6-3632c5d2b8f4", "6f412521-2e9b-44b1-a3e4-8f1358caef63", "fc725989-5c3e-4bf4-89b1-68caeec4d858", "383408d4-89b8-42df-af53-5c89f91e0cc7", "146384fc-3f64-4482-a78a-2f082411a27d", "627a9226-a907-4018-89e3-878002a9d22b", "22add642-d849-48ff-9913-8c7ba2d99b46", "4315e096-f51e-4b56-8235-57be9789a62c", "298e6b5a-21a8-4d56-9484-1bac58c94a26", "354f9aa0-2f0a-4cdf-9b60-d023da93cc76", "8d482810-26da-4bbc-8599-6b1fd1ab8743", "038920bb-8c40-4a30-8d0c-0a29bcd64751", "d2c6f6f5-2236-4217-8361-3297b6369979", "47c7ffa9-65ba-41d1-9461-4e5458afd62e", "84f9e5e8-4baa-42a4-a491-fb92d0258f49", "c1ba372b-dba2-4bce-b72e-b5c832eaaf44", "898afe8c-0297-45d6-b4b5-0cb9e632094b", "f4e80988-c139-4953-8176-b3d6d03f6449", "c7e84d16-449e-4154-a1bd-603b4fae329e", "bd8b518b-d812-46f9-b367-4c1b660cfc99", "71084c02-973d-4544-b804-7ed82bd53027", "f7bd721a-1f72-4bef-a38c-792f59cc8fe3", "f0335765-1ab0-4e94-ab38-f404de4c3b4d", "2ed52078-7e55-40ea-8036-0d89118a06f4", "3e62e13e-3955-494a-91b3-f00ab9e84b48", "8a528b7f-98af-4893-af73-5d5f26d3aa7c", "716d89ce-b0da-4158-abb6-72f562206b37", "e7065317-1d57-434a-8428-efa263ecc526"]</t>
  </si>
  <si>
    <t>d0a2a264-e452-425f-9b90-9adc6a6f41d3</t>
  </si>
  <si>
    <t>exponiam-kunstinkubator</t>
  </si>
  <si>
    <t>Exponiam - Kunstinkubator</t>
  </si>
  <si>
    <t>Exponiam ist ein Kunstinkubator auf gemeinnütziger Basis, mit dem Ziel, Künstler\_innen ins Geschäft zu bringen, Talente von Morgen zu erkennen und den Kunststandort Wien zu fördern. Exponiam bringt Künstler\_innen und Kunstkäufer\_innen zusammen. Zur besseren Information unserer Besucher\_innen verwenden wir den Feed für Ausstellungen in der Stadt Wien.</t>
  </si>
  <si>
    <t>2024-06-11 06:14:35.516627</t>
  </si>
  <si>
    <t>d594d8bd-ed6f-4926-93fd-3c7c77ef2aa3</t>
  </si>
  <si>
    <t>einfach-parken-wien-2</t>
  </si>
  <si>
    <t>Einfach Parken Wien</t>
  </si>
  <si>
    <t xml:space="preserve">Einfach Parken Wien gibt Ihnen sämtliche notwendige Informationen rund ums Parken auf der Straße oder in einer Garage der wunderschönen österreichischen Hauptstadt._x000D_
_x000D_
Funktionen:_x000D_
* Sofort wissen ob Sie sich in einer Kurzparkzone befinden_x000D_
* Kontrollieren ob sich eine bestimmte Position auf dem Stadtplan in einer Kurzparkzone befindet_x000D_
* Alle Garagen, Motorrad Parkplätze, Behindertenparkplätze und Parkschein Verkaufsstellen der Stadt auf dem Plan sehen_x000D_
* Die Liste der Garagen, Motorrad Parkplätze, Behindertenparkplätze und Parkschein Verkaufsstellen nach Entfernung geordnet sehen_x000D_
* Informationen wie z.B. Preis oder Telefonnummer von den meisten Garagen sehen_x000D_
* Navigieren Sie mit der Navi Funktion Ihres Gerätes zu einer Garage Ihrer Wahl_x000D_
* Lösen Sie per SMS einen Parkschein direkt in der App (es fallen keine zusatzkosten an!Anmeldung bei dem Dienstanbieter erforderlich)_x000D_
</t>
  </si>
  <si>
    <t>["6858b208-62bc-424e-9d7b-c89b74d3d3e3", "aa8876c7-9711-4969-b428-34400f2d0dbe", "455cf48c-cdee-4721-a0ed-cd38af7aff0f", "4315e096-f51e-4b56-8235-57be9789a62c", "8a528b7f-98af-4893-af73-5d5f26d3aa7c", "2ee6b8bf-6292-413c-bb8b-bd22dbb2ad4b"]</t>
  </si>
  <si>
    <t>e9360ff4-11eb-4f2a-b526-369ef522a6a0</t>
  </si>
  <si>
    <t>tourismus-statistik-oo</t>
  </si>
  <si>
    <t>Tourismus-Statistik OÖ</t>
  </si>
  <si>
    <t>Diese Web-Applikation erlaubt eine einfache Auswertung von touristischen Kennzahlen wie Ankünfte, Nächtigungen, durchschnittliche Aufenthaltsdauer und Nächtigungen pro Einwohner. Die Darstellung erfolgt auf Karten, in Tabellen und mit Charts. Die Daten liegen jeweils pro Ort und Jahr vor. Die Darstellung erfolgt in Karten-, Tabellen- und Chart-Form.</t>
  </si>
  <si>
    <t>2024-06-11 06:14:35.275511</t>
  </si>
  <si>
    <t>e632c87c-e766-468a-9572-00f30d2b79fc</t>
  </si>
  <si>
    <t>kultur-app-2</t>
  </si>
  <si>
    <t>Kultur.app</t>
  </si>
  <si>
    <t>Dieses App soll helfen, seine Interressen im Bereich Theater, Galerie und Museum leichter und schneller nachgehen zu können. Es hilft diese auf die jeweiligen Interressen abzustimmen. Man bekommt einen kurzen Einblick und die wichtigsten Informationen der jeweiligen Veranstaltung._x000D_
Ein außergewöhnlicher und wichtiger Punkt des Kultur.apps ist, dass bereits verplante Zeiten sofort ausgeschlossen werden können.</t>
  </si>
  <si>
    <t>2024-06-11 06:14:35.378211</t>
  </si>
  <si>
    <t>["9c0a65e3-db8c-4784-98df-b856a9cd3576", "dfa2ff35-d2c4-4196-9989-a1bdbeabbfed"]</t>
  </si>
  <si>
    <t>e4e05270-0605-4b1c-bbd6-a5ef225c507c</t>
  </si>
  <si>
    <t>ooe-quiz-2</t>
  </si>
  <si>
    <t>OÖ Quiz</t>
  </si>
  <si>
    <t>Wie gut kennst du Oberösterreich? Finde es heraus! Dies ist ein Quiz, welches geographische Fragen über das Land Öberösterreich stellt. Die abgefragten Kategorien sind: Berge, Gemeindehauptorte, Naturschutzgebiete, Kirchen und Seen. Durch die Beantwortung der Fragen können Punkte gesammelt werden. Falls man eine Antwort nicht weiß, wird die korrekte Lösung zum Einprägen angezeigt.</t>
  </si>
  <si>
    <t>2024-06-11 06:14:35.310939</t>
  </si>
  <si>
    <t>2b48fb3d-c239-4c3d-995c-512ea2583413</t>
  </si>
  <si>
    <t>oberoesterreich-guide</t>
  </si>
  <si>
    <t>Oberösterreich Guide</t>
  </si>
  <si>
    <t xml:space="preserve">Die App dient zur Hilfestellung um Radwege, Herbergen (Hotels, Jugendherbergen,Unterkünfte) und gastronomische Einrichtungen zu finden. </t>
  </si>
  <si>
    <t>2024-06-11 06:14:35.342962</t>
  </si>
  <si>
    <t>6e13e737-a40d-49c2-977f-27fcc60f7908</t>
  </si>
  <si>
    <t>alarms-2</t>
  </si>
  <si>
    <t>Alarms</t>
  </si>
  <si>
    <t>ALARMS wurde dazu entwickelt, Menschen zu warnen und ihnen zu helfen, auf Gefahren zu reagieren und sich in Sicherheit zu bringen. Egal ob ein einfaches Unwetter, eine normale Straßensperre oder katastrophale Ereignisse wie Pandemien, Epidemien, Hurrikans oder Schlimmeres. Eine simple Android Applikation hilft den Menschen, jedwede Gefahr zu erkennen und richtig darauf zu reagieren. Dank modernster Software, hilft dir ALARMS aus dem Gefahrenbereich zu gelangen. Durch die Verwendung von Augmented Reality ist immer klar erkennbar, woher die Gefahr kommt und wo man in Sicherheit ist. Zudem erreichen Katastrophenmeldungen die Bevölkerung auch an jenen Stellen, wo Sirenen nicht hörbar sind!</t>
  </si>
  <si>
    <t>2024-06-11 06:14:40.752095</t>
  </si>
  <si>
    <t>00450802-2136-4b9e-aad1-b29cdef8f58e</t>
  </si>
  <si>
    <t>bevolkerungooe</t>
  </si>
  <si>
    <t>BevölkerungOOE</t>
  </si>
  <si>
    <t>Diese App bietet Ihnen aktuelle Bevölkerungsstatistiken für ganz Oberösterreich._x000D_
_x000D_
Geben Sie eine Stadt oder Gemeinde ein um eine Auswertung folgender Daten zu bekommen:_x000D_
* Bevölkerung_x000D_
* Geburtszahlen_x000D_
* Todesfälle_x000D_
* Gesamtbevölkerung nach Geschlecht_x000D_
* Zuwanderung_x000D_
* Abwanderung_x000D_
_x000D_
_x000D_
u.v.m.</t>
  </si>
  <si>
    <t>2024-06-11 06:14:35.449629</t>
  </si>
  <si>
    <t>7a2ba3e6-6bdb-4a06-a673-dc5f597ea2f5</t>
  </si>
  <si>
    <t>placis</t>
  </si>
  <si>
    <t>Du suchst eine App bei der du ohne Anmeldung deine Lieblingsorte suchen, finden und teilen kannst? Du möchtest selber noch Details einfügen und das alles ohne besondere Rechte erteilen zu müssen und am besten Spam- und Werbefrei?_x000D_
_x000D_
Dann bist du hier richtig! Plac-is\* gibt dir die Möglichkeit all das zu tun und noch viel mehr…_x000D_
_x000D_
Funktionen:_x000D_
* Ortungsdienst_x000D_
* Einfache und schnelle Suche_x000D_
* Kategorie- und Umkreissuche_x000D_
* Editierbare Sucheinstellungen (Ergebnisanzahl, Radius, Rating etc.)_x000D_
* Geo-Position-Suche auch ohne GPS (per WLAN oder Handy-Netz) möglich_x000D_
* Suche auch ganz ohne Geo-Position möglich Suche in sehr vielen Open_x000D_
* Data-Datenbeständen möglich Suche in Fremddiensten (Google Places,_x000D_
* OpenStreetMaps) möglich Integrierter Start der Ziel-Navigation per_x000D_
* Google-Maps Intuitives Kreisauswahlmenü einfachste Bedienung auch mit_x000D_
* nur einem Finger frei von Werbung benötigt keine Zugriffsrechte auf_x000D_
* Privates (Kontakte, Mikro, Kamera, ...)_x000D_
_x000D_
_x000D_
Mit Anmeldung zusätzlich möglich:_x000D_
* Orterfassung_x000D_
* Ortbewertung_x000D_
* Ortbearbeitung_x000D_
* Öffnungszeiten/Beschreibung editieren_x000D_
* Orte Teilen_x000D_
* Bilder hinzufügen (ohne pauschalen Zugriff auf die Kamera)_x000D_
_x000D_
_x000D_
\*Plac-is leitet sich von Platz (Place) und von dem lateinischen “in situ” (am/vor Ort) ab._x000D_
_x000D_
Damit soll zum Ausdruck kommen, dass man mit dieser App am/vor Ort alle, den Platz betreffenden, Informationen bekommt bzw. sogar selber ergänzen kann._x000D_
Was wir hier mit einfach mit Ort bezeichnen wird häufig auch POI (= Point of interest) bezeichnet._x000D_
_x000D_
Diese App befindet sich in der Entwicklungsphase und lebt vom (hoffentlich positiven) Feedback seiner Anwender._x000D_
_x000D_
Dir fehlt etwas in der App? (Funktionen oder Du kennst freie Datenquellen für interessante Orte) Du hättest gerne eine bestimmte Auswahlmöglichkeit mehr oder einen sonstigen Vorschlag wie man diese App noch besser machen kann? Dann melde dich doch bitte bei uns.</t>
  </si>
  <si>
    <t>2024-06-11 06:14:47.07173</t>
  </si>
  <si>
    <t>["146384fc-3f64-4482-a78a-2f082411a27d", "716d89ce-b0da-4158-abb6-72f562206b37", "45d684ca-6ad7-4c5e-a721-64aa31795824", "be2e0197-57b8-4fcf-a144-cb33f7466f3a", "71084c02-973d-4544-b804-7ed82bd53027", "c7e84d16-449e-4154-a1bd-603b4fae329e", "f4e80988-c139-4953-8176-b3d6d03f6449", "898afe8c-0297-45d6-b4b5-0cb9e632094b", "97ef14eb-f280-48a7-96c0-df03859b06c2", "298e6b5a-21a8-4d56-9484-1bac58c94a26", "627a9226-a907-4018-89e3-878002a9d22b", "383408d4-89b8-42df-af53-5c89f91e0cc7", "fc725989-5c3e-4bf4-89b1-68caeec4d858", "6f412521-2e9b-44b1-a3e4-8f1358caef63", "3ff63cf5-8d04-4be5-9449-96411ae9fc36", "5d642d09-8e03-4200-a79b-2a397a6d5d51", "19987402-b592-41d5-89f7-fab3ab43fa54", "87f121a7-eef0-4be9-9372-a5efe5b4d375", "3bda5fb3-a829-437f-93c3-ba347067129d", "7fcf7f09-12d7-4b06-a183-93c51f940670", "f0335765-1ab0-4e94-ab38-f404de4c3b4d", "2adc5a86-faa3-4b63-acff-a66128b811b7", "cabad01a-8cc7-48c0-b7e8-ffbe1e685b26", "64f0f230-58c8-4b74-9bcc-3e28716307ed", "92183c55-442b-405d-9046-d19b07ffc83a", "74358c31-1607-41ff-bf02-a4b171e3a40d", "7aea60cb-4c5b-4794-9bfc-29972c3a0842", "995a2fd3-b6b9-4240-8beb-157e83aaf963", "d6513aa8-ad7e-4127-8e9c-7ceff23847d8", "257b205d-6dfb-4e47-b279-87601e368935", "a9485d15-2f8d-4b06-b3f4-83ba7f8007a0", "24f9c1ec-7df5-41ff-8f72-320f983e97e4", "0a644521-25b9-4930-a55e-debf76547a80", "4904b8e4-a002-4bcd-bda3-d496eab8fda4", "19247271-ae6d-41ad-9f8d-065542303dd3", "e4f659bd-ab8e-4bed-9955-bf26d76dc25b", "8a59dc9f-810b-43f1-a960-99ec6d1d0322", "5cf0474a-f6e7-4e27-8617-09bd8b405c56", "fbb0e4f8-8b03-47e5-9664-1823d62b8721", "ea1794c4-dbb8-4a55-b597-33b2cbdd62c6", "5e1ca1e8-0ecc-4875-9f03-0954bfd9a701", "ee80ef4e-a3d6-45ac-ae8e-862fcbe31e0d", "4c790f0e-052b-442c-9e96-bc87b88a043b", "3bb93411-5d34-4cf5-a1f0-664168c0db24", "82e52a92-c2d3-494c-991f-1d9d41ff0dc9", "1cb37603-9742-4987-b39e-02dab284cf94", "0eb9c379-1bc5-43e8-8d1d-72697f23f4a6", "973d2ade-0d91-4c6f-b2d6-e19e6211d4fe", "a16d2431-eeec-4e76-8280-b1ac7b4082ff", "53b70911-67ee-459b-a573-130272275a91", "f35b2a10-4d8b-40f3-9eb7-15d84c2f7f58", "1ac8b693-987f-47bd-ac7b-f432b01a04a3", "8d72f56e-c5ec-4160-bf66-ed8d5dc6b60a", "692e6b08-f8c3-4d1b-98b0-819a65549f07"]</t>
  </si>
  <si>
    <t>4d44dbad-7cb9-44e5-94ae-45e0ec54c9b6</t>
  </si>
  <si>
    <t>nextstop-wien-fuer-windows-phone</t>
  </si>
  <si>
    <t>Nextstop Wien für Windows Phone</t>
  </si>
  <si>
    <t>Nextstop Wien ist ein kostenloser Abfahrtsmonitor &amp; Routenplaner für dein Smartphone. Der aktuelle Fahrplan von Öffis sowie alle Abfahrtszeiten werden unter Berücksichtigung eventueller Verspätungen und Störungen angezeigt. Wann Wie Wohin - Die Fahrplan App ermittelt die schnellste Verbindung für dich, nie mehr lange warten!</t>
  </si>
  <si>
    <t>2024-06-11 06:14:27.754975</t>
  </si>
  <si>
    <t>["522d3045-0b37-48d0-b868-57c99726b1c4", "21fca925-12ac-4215-ba1a-a9c73cb3b082", "9c203fec-dc0d-412c-a7a3-7fd77d0346f1"]</t>
  </si>
  <si>
    <t>f58c105d-991e-4ab6-9d96-61d0e8a7db4f</t>
  </si>
  <si>
    <t>aktuell-im-nationalrat-aktuelle-beschluesse-und-regierungsvorlagen-und-gesetzesinitiativen</t>
  </si>
  <si>
    <t>Aktuell im Nationalrat: "Aktuelle Beschlüsse" und "Regierungsvorlagen und Gesetzesinitiativen“</t>
  </si>
  <si>
    <t>Automatisierter Import der auf [www.parlament.gv.at](http://www.parlament.gv.at) publizierten Aktivitäten der Abgeordneten im österreichischen Parlament via RSS. Übernommen werden die „Aktuellen Beschlüsse“ sowie „Regierungsvorlagen und Gesetzesinitiativen“.</t>
  </si>
  <si>
    <t>2024-06-11 06:14:40.715959</t>
  </si>
  <si>
    <t>56b7b254-a0aa-47ea-b6e4-d1509c5accae</t>
  </si>
  <si>
    <t>wili-for-webos</t>
  </si>
  <si>
    <t>WiLi for WebOS</t>
  </si>
  <si>
    <t>Wiener Linien App für WebOS. Basierend auf deinen GPS-Koordinaten werden die Haltestellen in deiner Nähe angezeigt. Tippe auf die Station, und du bekommst die aktuellen Abfahrzeiten angezeigt.</t>
  </si>
  <si>
    <t>2024-06-11 06:14:35.652257</t>
  </si>
  <si>
    <t>34e31917-f5bf-44f5-abe0-eb0cbacae9fa</t>
  </si>
  <si>
    <t>hundezonen-wien</t>
  </si>
  <si>
    <t>Hundezonen Wien</t>
  </si>
  <si>
    <t>Alle Informationen zu Hundezonen, Hundesackerl und Hundebadestellen in einer App vereint.</t>
  </si>
  <si>
    <t>2024-06-11 06:14:27.11394</t>
  </si>
  <si>
    <t>["98908792-f315-4834-9b5e-20fed66cbe5a", "28a7419c-f432-4e1a-b0a6-aa9e71968a14"]</t>
  </si>
  <si>
    <t>5233a44e-f6a9-4b3d-a29c-9d11f750721d</t>
  </si>
  <si>
    <t>wialangno</t>
  </si>
  <si>
    <t>Wialangno</t>
  </si>
  <si>
    <t>Wenn Sie wissen wollen, wann die nächste Straßenbahn, U-Bahn oder der nächste Bus an Ihrer Haltestelle ankommen, dann sollten Sie diese App definitiv verwenden!_x000D_
_x000D_
Wählen Sie eine Haltestelle und eine Linie und Sie erhalten die Echtzeitdaten für die nächsten Ankünfte. Die App zeigt Ihnen wie lange das nächste Fahrzeug noch benötigt, um Ihre Station zu erreichen und ob es derzeit Störungen gibt.</t>
  </si>
  <si>
    <t>2024-06-11 06:14:27.444512</t>
  </si>
  <si>
    <t>86a1bf01-0241-49cc-8d02-774eacdfc414</t>
  </si>
  <si>
    <t>oeffi-alarm-wiener-linien</t>
  </si>
  <si>
    <t>Öffi Alarm - Wiener Linien</t>
  </si>
  <si>
    <t>Mit dem Öffi Alarm erhältst du sofort und jederzeit Informationen zu den aktuellen Abfahrten der Wiener Linien in deiner unmittelbaren Umgebung. Dazu einfach die App starten und dir werden – nach der automatischen Bestimmung deiner Position – alle Haltestellen, deren Linien und die dazugehörigen Abfahrten angezeigt._x000D_
_x000D_
Du möchtest zu einem bestimmten Zeitpunkt über die Abfahrten an einer Haltestelle automatisch erinnert werden? Hierfür musst du einfach auf einen Eintrag in der Liste aller Abfahrten (Abfahrtsmonitor) klicken und deinen ganz persönlichen Alarm erstellen._x000D_
_x000D_
Der Routen-Alarm erinnert dich rechtzeitig für eine Fahrt von A nach B._x000D_
_x000D_
Somit verpasst du nie wieder ein Verkehrsmittel (Bus, Straßenbahn, U-Bahn, etc.) der Wiener Linien._x000D_
_x000D_
Dir ist die genaue Position der Station nicht bekannt? Hierfür brauchst du lediglich auf den Stationsnamen klicken um eine Navigation zu starten.</t>
  </si>
  <si>
    <t>2024-06-11 06:14:27.716352</t>
  </si>
  <si>
    <t>47d83ad5-d506-4bb6-a6e9-e527024889bf</t>
  </si>
  <si>
    <t>wiener-mietenrechner-app</t>
  </si>
  <si>
    <t>Wiener Mietenrechner App</t>
  </si>
  <si>
    <t xml:space="preserve">Mit der Wiener Mietenrechner App lässt sich in wenigen Schritten feststellen, ob Mieten angemessen sind._x000D_
_x000D_
Funktionen:_x000D_
* Überprüfung der Anwendbarkeit des Richtwertmietzinses_x000D_
* Berechnung des Richtwertmietzinses_x000D_
* Ermittlung der Wohnungskategorie_x000D_
* Lagezuschlag für Wohnungs-Standorte in Wien_x000D_
</t>
  </si>
  <si>
    <t>2024-06-11 06:14:30.659326</t>
  </si>
  <si>
    <t>ae0f2558-2b79-4e18-8f74-4d9ce3871bda</t>
  </si>
  <si>
    <t>baumkataster-linz</t>
  </si>
  <si>
    <t>Baumkataster Linz</t>
  </si>
  <si>
    <t>Karte zur Darstellung des Linzer Baumkatasters._x000D_
_x000D_
Die Anwendung basiert auf dem Projekt Linz Pflückt, welches mehr als 2000 öffentliche Obstbäume der Stadt Linz zeigt. Die Basisdaten stammen von den Stadtgärten Linz und enthalten Informationen zu Art, Gattung, Baumhöhe.</t>
  </si>
  <si>
    <t>2024-06-11 06:14:47.58295</t>
  </si>
  <si>
    <t>f0aae978-016e-4ccd-9087-5dfa85947f5a</t>
  </si>
  <si>
    <t>wahlsprengel-karte-wien-zur-eu-wahl-2014</t>
  </si>
  <si>
    <t>Wahlsprengel-Karte Wien zur EU-Wahl 2014</t>
  </si>
  <si>
    <t>Die Karte zeigt die Ergebnisse der Wahl zum EU-Parlament vom 25. Mai 2014 für Wien auf Ebene der Wahlsprengel</t>
  </si>
  <si>
    <t>2024-06-11 06:14:35.715916</t>
  </si>
  <si>
    <t>["79c1030d-5cf6-4d58-ade6-02f66fb4dffb"]</t>
  </si>
  <si>
    <t>42897ff1-c245-442b-a792-377d48f1d0c1</t>
  </si>
  <si>
    <t>vienna-traffic-monitor-2</t>
  </si>
  <si>
    <t>Vienna Traffic Monitor</t>
  </si>
  <si>
    <t xml:space="preserve">Vienna Traffic Monitor ist ein Echtzeit-Abfahrtsmonitor für das Netz der Wiener Linien._x000D_
_x000D_
Kurzfassung der Funktionen:_x000D_
* Übersichtskarte aller Linien_x000D_
* Abfahrts-Monitor_x000D_
* Ausblenden einzelner Verkehrsmittel_x000D_
* Verschiedene Styles_x000D_
_x000D_
_x000D_
Mindestvoraussetzungen:_x000D_
* Betriebssystem: Windows 7 oder neuer_x000D_
* Internetverbindung_x000D_
</t>
  </si>
  <si>
    <t>2024-06-11 06:14:35.748421</t>
  </si>
  <si>
    <t>a0b099d7-2262-4506-9dae-3d91b16ee7b4</t>
  </si>
  <si>
    <t>wahlsprengel-top2-eu-wahl-2014-wien</t>
  </si>
  <si>
    <t>Wahlsprengel-Top2 EU-Wahl 2014 Wien</t>
  </si>
  <si>
    <t>Visualisierung des Wahlergebnisses zur EU-Wahl 2014 in Wien auf Wahlsprengelebene._x000D_
_x000D_
Jeder Wahlsprengel ist in den Farben der beiden meistgewählten Parteien dargestellt. Die Breite der Linien spiegelt das Verhältnis zwischen erst- und zweitgereihter Partei da. Die Farbintensität entspricht der Wählerzahl im Wahlsprengel.</t>
  </si>
  <si>
    <t>2024-06-11 06:14:27.539551</t>
  </si>
  <si>
    <t>ef5c4c4c-ae63-4fbc-bbf7-4e5ad92664c8</t>
  </si>
  <si>
    <t>dog-toilet-map-salzburg</t>
  </si>
  <si>
    <t>Dog Toilet Map Salzburg</t>
  </si>
  <si>
    <t>In Salzburg gibt es rund 80 Hundestationen mit Hundesackerlspender - auch genannt "Sackerlautomaten" - die laufend vom Gartenamt betreut werden._x000D_
_x000D_
Diese Anwendung zeigte die Standorte dieser Hundestationen als Augmented-Reality-Layer in der Applikation Wikitude, welche für [Android](https://play.google.com/store/apps/details?id=com.wikitude) und [iOS](http://itunes.apple.com/us/app/wikitude/id329731243?mt=8) verfügbar war._x000D_
_x000D_
Update: die "Dog Toilet Map Salzburg" ist leider nicht mehr abrufbar, da Wikitude das hierfür notwendige Webservice eingestellt hat.</t>
  </si>
  <si>
    <t>2024-06-11 06:14:50.575605</t>
  </si>
  <si>
    <t>["15914c77-fe9b-4853-9c74-aa64d2e79b56"]</t>
  </si>
  <si>
    <t>60311ad4-7583-4fa7-bc1c-4733d720a8de</t>
  </si>
  <si>
    <t>badegewaesser-app</t>
  </si>
  <si>
    <t>Badegewässer App</t>
  </si>
  <si>
    <t xml:space="preserve">AGES App für iOS und Android zur Darstellung der Wässerqualität der österreichischen Badegewässer. </t>
  </si>
  <si>
    <t>2024-06-11 06:14:27.147462</t>
  </si>
  <si>
    <t>["2646025c-8ab9-4850-b76c-c2f508b34798"]</t>
  </si>
  <si>
    <t>4e72d9a5-5c4f-46df-81e4-26d7a86297d5</t>
  </si>
  <si>
    <t>toilet-rating-2</t>
  </si>
  <si>
    <t>Toilet Rating</t>
  </si>
  <si>
    <t>Toilet Rating ist Österreichs erstes und einziges Toiletten-Bewertungssystem! Lassen Sie sich alle öffentlichen WCs in Wien auf einer Karte anzeigen und direkt eine Route berechnen. Bewerten sie öffentliche Toiletten nach Sauberkeit und helfen Sie anderen Benutzern die sauberste öffentliche Toilette zu finden.</t>
  </si>
  <si>
    <t>2024-06-11 06:14:46.958483</t>
  </si>
  <si>
    <t>ad4a9766-aa7e-4190-8f99-8a559daab7f0</t>
  </si>
  <si>
    <t>shinymig-ooe</t>
  </si>
  <si>
    <t>shinyMig OÖ</t>
  </si>
  <si>
    <t>Visualisierung der Migrationsbilanzen oö. Bezirke auf ShinyApps.io_x000D_
_x000D_
Für das Kurs-Projekt vom MOOC [Developing Data Products](https://class.coursera.org/devdataprod-003) wurde eine simple [Visualisierungs App](https://donk23.shinyapps.io/shinyMig_UpperAT/) entwickelt. Sie bereitet Migrationsdaten aus dem Zeitraum 2002 - 2012 der Bezirke von Oberösterreich in Form einer Choroplethenkarte auf und zeigt die Werte auch in Tabellenform.</t>
  </si>
  <si>
    <t>2024-06-11 06:14:35.779611</t>
  </si>
  <si>
    <t>960d02b7-05c7-4a71-bc65-6d16eb83591a</t>
  </si>
  <si>
    <t>hereinvienna-2</t>
  </si>
  <si>
    <t>hereinVienna</t>
  </si>
  <si>
    <t>hereinVienna ist ein Wien-Guide der speziellen Art. Er nutzt die Open Government Data Wien (OGD) und präsentiert diese in einer stylishen App._x000D_
_x000D_
Aus über 20 OGD-Filtern werden die Passendsten auf Basis persönlicher Vorlieben zusammengestellt. Nun kann man über den Stadtplan oder eine Listenansicht kuriose, interessante aber auch allgemein-nützliche Orte erkunden. Denn reist man das erste Mal mit Kindern nach Wien, sind andere Schwerpunkte von Interesse, als bei Geschäftsreisenden._x000D_
_x000D_
Die OGD-Objekte werden darüber hinaus mit freien Bildern von Flickr und Wikipedia-Einträgen verknüpft. Die Bilder können auch in einem Parallax-Viewer angesehen werden._x000D_
_x000D_
Über Augmented Reality und Routing-Funktion findet man einfach zu seinem Ziel.</t>
  </si>
  <si>
    <t>2024-06-11 06:14:46.925386</t>
  </si>
  <si>
    <t>["45d684ca-6ad7-4c5e-a721-64aa31795824", "f4e80988-c139-4953-8176-b3d6d03f6449", "f7bd721a-1f72-4bef-a38c-792f59cc8fe3", "a42cbe4f-89f0-42ae-a34d-f2e5db6aa1d2", "7c6e9dbf-487b-4146-a379-19e46642c392", "2adc5a86-faa3-4b63-acff-a66128b811b7", "523ba2e4-8c55-4dde-8acf-39e3621811b0", "c6fc4688-1aca-4363-bd1a-8d14ea08d2f8", "3ff63cf5-8d04-4be5-9449-96411ae9fc36", "6f412521-2e9b-44b1-a3e4-8f1358caef63", "354f9aa0-2f0a-4cdf-9b60-d023da93cc76", "898afe8c-0297-45d6-b4b5-0cb9e632094b", "2ed52078-7e55-40ea-8036-0d89118a06f4", "aab0a0be-89e6-442e-8cf9-e762bd18f76b", "146384fc-3f64-4482-a78a-2f082411a27d", "de64ade8-5025-40f9-a2e0-15b72797e6a7", "7fcf7f09-12d7-4b06-a183-93c51f940670", "be2e0197-57b8-4fcf-a144-cb33f7466f3a", "383408d4-89b8-42df-af53-5c89f91e0cc7", "97ef14eb-f280-48a7-96c0-df03859b06c2", "21fca925-12ac-4215-ba1a-a9c73cb3b082"]</t>
  </si>
  <si>
    <t>2d940a62-70dc-408f-bd3c-cbb7e9c6f9e1</t>
  </si>
  <si>
    <t>demographic-indicators-vienna</t>
  </si>
  <si>
    <t>Demographic Indicators Vienna</t>
  </si>
  <si>
    <t>Visualization of Demographic Indicators Vienna</t>
  </si>
  <si>
    <t>2024-06-11 06:14:35.810758</t>
  </si>
  <si>
    <t>["bd871bb0-55a4-47aa-8926-04c59fdc8ef5"]</t>
  </si>
  <si>
    <t>1dc705f0-a497-4cfb-b389-30de581a242f</t>
  </si>
  <si>
    <t>at-wetter-2</t>
  </si>
  <si>
    <t>AT-WETTER</t>
  </si>
  <si>
    <t>Diese Webapp liest die stündlich anfallenden Daten, die von ZAMG bereitgestellt werden, speichert sie in einer eigenen Datenbank ab und bereitet diese Daten graphisch auf. Die Open Data Schnittstelle der ZAMG stellt immer nur die stündlich aktuellen Daten zur Verfügung. Mit dieser Webapp ist es möglich auch auf älter Daten (seit dem 26.07.2014 08:00) zuzugreifen und diese auszuwerten.</t>
  </si>
  <si>
    <t>2024-06-11 06:14:41.025737</t>
  </si>
  <si>
    <t>["9b40a0af-a6fe-47ff-9624-2ea8f40c746f"]</t>
  </si>
  <si>
    <t>b759a178-143b-481c-abec-fefc5ad45ba7</t>
  </si>
  <si>
    <t>kulturgut-tirol</t>
  </si>
  <si>
    <t>Kulturgut Tirol</t>
  </si>
  <si>
    <t>Kulturführer für Burgen, Schlösser und Kirchen in Tirol</t>
  </si>
  <si>
    <t>2024-06-11 06:14:27.048045</t>
  </si>
  <si>
    <t>["8dfe02c3-c8b6-4c0e-84ec-7dad6be0b673"]</t>
  </si>
  <si>
    <t>5d258ca4-0965-4f2c-ab8e-690fb7913660</t>
  </si>
  <si>
    <t>barrierefrei-parken-salzburg</t>
  </si>
  <si>
    <t>Barrierefrei Parken Salzburg</t>
  </si>
  <si>
    <t>Mit der App lassen sich barrierefreie Parkplätze in Salzburg finden._x000D_
_x000D_
Barrierefreie Parkplätze sind über die Map oder eine Liste einsehbar._x000D_
_x000D_
Eine Anzeige über die kürzeste Route zu den jeweiligen Parkplätzen, sowie Informationen über Straßenname, Position und Anzahl der Plätze ist ebenfalls möglich._x000D_
_x000D_
Für die Navigation zu dem jeweiligen Parkplatz wird die iOS Maps genutzt._x000D_
_x000D_
Kontakt: gzangerl.mmt-b2013 (a) fh-salzburg.ac.at, chabersatter.mmt-b2013 (a) fh-salzburg.ac.at, draudschus.mmt-b2013 (a) fh-salzburg.ac.at</t>
  </si>
  <si>
    <t>["a01bd054-65f7-4433-b852-6c8f926a4da0"]</t>
  </si>
  <si>
    <t>2f7a66e8-7417-4366-bd0b-ac7fafcdfdb6</t>
  </si>
  <si>
    <t>taxinavi-austria</t>
  </si>
  <si>
    <t>TaxiNavi Austria</t>
  </si>
  <si>
    <t>Eine mobile Applikation speziell für TaxilenkerInnen</t>
  </si>
  <si>
    <t>2024-06-11 06:14:46.994718</t>
  </si>
  <si>
    <t>["298e6b5a-21a8-4d56-9484-1bac58c94a26", "f0335765-1ab0-4e94-ab38-f404de4c3b4d", "3e62e13e-3955-494a-91b3-f00ab9e84b48", "be2e0197-57b8-4fcf-a144-cb33f7466f3a", "146384fc-3f64-4482-a78a-2f082411a27d", "5d642d09-8e03-4200-a79b-2a397a6d5d51", "7fcf7f09-12d7-4b06-a183-93c51f940670", "d9321ccf-d303-4cfb-a24b-32aba49cef81", "6f412521-2e9b-44b1-a3e4-8f1358caef63", "f4e80988-c139-4953-8176-b3d6d03f6449"]</t>
  </si>
  <si>
    <t>fa5f22d6-643c-4b0a-bb08-60e23f5b2450</t>
  </si>
  <si>
    <t>open-data-mashup-zum-kleinen-gluecksspiel-und-schulen</t>
  </si>
  <si>
    <t>Open Data-Mashup zum kleinen Glücksspiel und Schulen</t>
  </si>
  <si>
    <t>Interaktive Kartenvisualisierung, welche die Standorte der kleines Glücksspielautomaten in Wien vor 1.1.2015 zeigt (Datenquelle: dossier.at) und diese mit den Standorten der Schulen der Stadt Wien (Datenquelle: OGD Wien) verschränkt, inkl. Anzeige der bis dahin geforderten Pufferzone von 150m._x000D_
_x000D_
Ziel der Visualisierung ist es aufzuzeigen, dass Open Data auch für die Überprüfung der Einhaltung von Gesetzen verwendet werden könnte.</t>
  </si>
  <si>
    <t>2024-06-11 06:14:51.812705</t>
  </si>
  <si>
    <t>["c1ba372b-dba2-4bce-b72e-b5c832eaaf44", "2c54f4d6-5712-4e5a-a025-b7f7a396c39b"]</t>
  </si>
  <si>
    <t>ed0a3982-5252-46ed-b074-c430526a55b7</t>
  </si>
  <si>
    <t>where2go-entdecke-deine-stadt</t>
  </si>
  <si>
    <t>Where2Go - Entdecke deine Stadt!</t>
  </si>
  <si>
    <t>Wenn du immer schonmal wissen wolltest, was in deiner Umgebung so abgeht, ist diese App genau die richtige für dich._x000D_
_x000D_
Where2Go beschäftigt sich mit POIs (Interessanten Orten) weltweit und Open Data in Österreich._x000D_
_x000D_
Funktionen:_x000D_
* Interessante Orte in der Nähe_x000D_
* Detailinfos (Karte, Telefon, Weblink, E-Mail, Wegberechnung) Verknüpfung zu One2Go (Haltestellen in der Nähe)_x000D_
_x000D_
_x000D_
Die kleinen Feinheiten:_x000D_
* Große, gut lesbare Schrift_x000D_
* Übersichtliche Inhalte_x000D_
* Fokus auf Einfachheit_x000D_
_x000D_
_x000D_
Die iPhone App ist gratis, ohne Werbung oder nervige Bewertungs-Pop-Ups.</t>
  </si>
  <si>
    <t>2024-06-11 06:14:27.080399</t>
  </si>
  <si>
    <t>["45d684ca-6ad7-4c5e-a721-64aa31795824"]</t>
  </si>
  <si>
    <t>48224762-30c0-4d3d-8201-026e236d4415</t>
  </si>
  <si>
    <t>kultuhr</t>
  </si>
  <si>
    <t>Kultuhr</t>
  </si>
  <si>
    <t>Meine Sicht auf die Veranstaltungsdatenbank der Stadt Wien._x000D_
1. Datum mit dem Schieberegler einstellen._x000D_
2. Filter anwenden ("rechtswischen", auswählen, "linkswischen")_x000D_
3. Veranstaltung auswählen._x000D_
4. Kultur genießen._x000D_
_x000D_
_x000D_
Ein schlichtes Testprojekt, das ich Kulturinteressierten nicht vorenthalten möchte._x000D_
_x000D_
Für die Speicherung der Filtereinstellungen werden Cookies verwendet._x000D_
_x000D_
Paul Neulinger</t>
  </si>
  <si>
    <t>2024-06-11 06:14:26.979296</t>
  </si>
  <si>
    <t>baa53d7b-5cbb-4d9f-b147-d562fb7b35b8</t>
  </si>
  <si>
    <t>isochrone-karte-wien</t>
  </si>
  <si>
    <t>Isochrone Karte Wien</t>
  </si>
  <si>
    <t>Wie lange braucht man mit öffentlichen Verkehrsmitteln oder zu Fuß quer durch die Stadt? Diese Visualisierung gibt auf einen Blick Auskunft darüber._x000D_
_x000D_
(Anmerkung: diese Applikation ist ein Prototyp und verwendet Daten aus einem veralteten Datensatz. Leider werden von den Wiener Linien nicht die gesamten Fahrplandaten veröffentlicht, sodass ein Teil der Daten händisch erstellt werden musste. Daher ist ein automatisches Updaten derzeit nicht möglich)</t>
  </si>
  <si>
    <t>2024-06-11 06:14:29.96154</t>
  </si>
  <si>
    <t>4648259d-d2e2-4a6b-8a63-084b32eeb473</t>
  </si>
  <si>
    <t>freewave</t>
  </si>
  <si>
    <t>Darstellung der freewave Hotspots auf einer Karte und als Liste</t>
  </si>
  <si>
    <t>2024-06-11 06:14:27.900009</t>
  </si>
  <si>
    <t>404acacd-d09b-4c66-ac31-8479d9dd4fc4</t>
  </si>
  <si>
    <t>hydrantenplan-at</t>
  </si>
  <si>
    <t>Hydrantenplan.at</t>
  </si>
  <si>
    <t xml:space="preserve">Die Firma Hawle Service GmbH hat sich auf die Überprüfung und Instandhaltung von Hydranten spezialisiert und ist österreichweit für Gemeinden, Stadtwerke und Wasserverbände tätig._x000D_
_x000D_
_x000D_
Auf der Plattform hydrantenplan.at sind für unsere Kunden sämtliche Informationen der letzten Kontrollwartung bzw. Reparatur abrufbar, der Zustand der Hydranten, sowie die Leistungsdaten werden übersichtlich dargestellt._x000D_
_x000D_
_x000D_
hydrantenplan.at sorgt dafür, dass die Gemeinde bzw. der Betreiber der Wasserversorgungsanlage und die Feuerwehren jederzeit auf den selben, aktuellen Datenstand zugreifen können._x000D_
_x000D_
_x000D_
</t>
  </si>
  <si>
    <t>2024-06-11 06:14:27.965902</t>
  </si>
  <si>
    <t>5146c105-4089-44c7-a7b5-1fc351c1c4a8</t>
  </si>
  <si>
    <t>entwicklung-von-ogd</t>
  </si>
  <si>
    <t>Entwicklung von OGD</t>
  </si>
  <si>
    <t>Die interaktive Visualisierung zeigt die Entwicklung von OGD in Österreich.</t>
  </si>
  <si>
    <t>2024-06-11 06:14:28.762941</t>
  </si>
  <si>
    <t>["1f4a62eb-6f1a-4bfe-b7cd-e6dede0be00a"]</t>
  </si>
  <si>
    <t>d15a00cd-a85f-41fc-87e9-ebab5be89eec</t>
  </si>
  <si>
    <t>fassungsvergleich</t>
  </si>
  <si>
    <t>Fassungsvergleich</t>
  </si>
  <si>
    <t>Das Service richtet sich an juristisches Publikum und erlaubt Benutzern das Anlegen eigener Gesetzessammlungen sowie die Generierung druckfertiger PDFs dieser Gesetzessammlungen. _x000D_
Auch ein Fassungsvergleich ist möglich - anhand zweier Stichtage können Unterschiede in Normen grafisch dargestellt werden und so den Benutzern Änderungen einfach verständlich anzeigen. _x000D_
_x000D_
 </t>
  </si>
  <si>
    <t>2024-06-11 06:14:29.203227</t>
  </si>
  <si>
    <t>71e95324-8923-4588-9788-290a7fe459a7</t>
  </si>
  <si>
    <t>super-trumpf-tirol</t>
  </si>
  <si>
    <t>Super Trumpf Tirol</t>
  </si>
  <si>
    <t>Super Trumpf Tirol ist eine online-Version des Kartenspiels "Super Trumpf", welches oft auch als Auto-Quartett bekannt ist. Ein Spiel besteht aus 52 Karten, die auf 2 Spieler aufgeteilt werden. Eine Spielkarte beschreibt dabei jeweils eine Gemeinde aus Tirol._x000D_
Auf der Karte befinden sich 5 Kategorien: Einwohnerzahl, Fläche, Verschuldungsgrad, Anzahl Übernachtungen und Anzahl der Sportanlagen sowie die Position der Gemeinde auf der Landkarte. Der aktive Spieler (in der ersten Runde zufällig gewählt) wählt eine Kategorie. Die Werte dieser Kategorie werden bei den beiden obersten Karten verglichen._x000D_
Der Spieler mit dem besseren Wert erhält beide Karten und ist der aktive Spieler in der nächsten Runde. Hält ein Spieler alle 52 Karten, hat er das Spiel gewonnen. Das Spielen ist derzeit alleine (gegen den Computer) sowie auch gegen einen anderen Spieler möglich. Auf eine Registrierung der Spieler oder eine Chat-Funktion haben wir bewusst verzichtet. _x000D_
_x000D_
 </t>
  </si>
  <si>
    <t>2024-06-11 06:14:38.669106</t>
  </si>
  <si>
    <t>["42b1da9c-72f8-4155-92c5-01b01696b1b7", "128e3b47-1e44-3791-bee2-3b06b2cd58f4"]</t>
  </si>
  <si>
    <t>7eac0582-7ffa-4b4c-9a71-b01bc1b9ee59</t>
  </si>
  <si>
    <t>locus-map-multifunctional-outdoor-navigation-app</t>
  </si>
  <si>
    <t>Locus Map - multifunctional outdoor navigation app</t>
  </si>
  <si>
    <t>Locus Map provides various kinds of maps from all over the World for your mobile phone or tablet. Its wide portfolio offers hiking and cycling maps but also nautical charts or town plans. With GPS you always know your exact position.</t>
  </si>
  <si>
    <t>2024-06-11 06:14:28.454936</t>
  </si>
  <si>
    <t>0508dfa7-64e6-4fdb-a36b-cc17a86417ae</t>
  </si>
  <si>
    <t>qgis-opendata-plugin</t>
  </si>
  <si>
    <t>QGIS OpenData Plugin</t>
  </si>
  <si>
    <t>Plugin für QGIS zur effizienten Nutzung von OpenData. Die Software nutzt das CKAN API zum Auffinden von Datensätzen.</t>
  </si>
  <si>
    <t>2024-06-11 06:14:41.935487</t>
  </si>
  <si>
    <t>1c4de155-4d97-4207-8a18-b254d011f9dd</t>
  </si>
  <si>
    <t>events-in-vienna-2</t>
  </si>
  <si>
    <t>Events in Vienna</t>
  </si>
  <si>
    <t>Mit "Events in Vienna" kann die Veranstaltungsdatenbank der Stadt Wien durchsucht werden. Die Suche kann mithilfe von Sucheinschränkungen (Bezirk, Zeitpunkt, Kategorie) verfeinert werden. Nach der erfolgreichen Suche können die Details zur jeweiligen Veranstaltung angezeigt werden. Zusätzlich ist es möglich, den Zeitpunkt der Veranstaltung als Termin in seinen Kalender einzutragen, die Infos per eMail zu senden oder auf Facebook bzw. Twitter zu teilen. Außerdem kann die App die Route zum Veranstaltungsort berechnen und auf der Karte anzeigen sowie die Veranstaltungshomepage im Browser öffnen.</t>
  </si>
  <si>
    <t>2024-06-11 06:14:27.251739</t>
  </si>
  <si>
    <t>26470068-0eb3-4fe2-b007-b235e336ea7d</t>
  </si>
  <si>
    <t>kurzparkzonen-wien-2</t>
  </si>
  <si>
    <t>Kurzparkzonen Wien</t>
  </si>
  <si>
    <t>Kurzparkzonen Wien liefert alle Informationen, die man rund ums Parken in Wien wissen muss. Kurzparkzonen, Kurzparkstreifen und Anrainerparkplätze sind auf der Karte markiert und können im Detail abgefragt werden. Zusätzlich können Garagen und P+R-Anlagen und Parkscheinstellen eingeblendet und abgefragt werden. Zusatzfunktionen wie Adressabfrage, Standortabfrage und Satellitenansicht fehlen selbstverständlich auch nicht.</t>
  </si>
  <si>
    <t>2024-06-11 06:14:28.05194</t>
  </si>
  <si>
    <t>["6858b208-62bc-424e-9d7b-c89b74d3d3e3", "aa8876c7-9711-4969-b428-34400f2d0dbe", "8a528b7f-98af-4893-af73-5d5f26d3aa7c", "4111e2d8-1729-4953-899a-c55bc382857e", "627a9226-a907-4018-89e3-878002a9d22b", "6d92970a-d698-418b-8576-f3b03dc1a59a"]</t>
  </si>
  <si>
    <t>02b13cbf-faf5-43be-a4f4-61eb3e758d12</t>
  </si>
  <si>
    <t>lexiomobil</t>
  </si>
  <si>
    <t>LexioMobil</t>
  </si>
  <si>
    <t>LexioMobil ist eine App für iOS- und Android-Smartphones, mit der es möglich ist, über die Dienste Medix Informatik GmbH bzw. IMD GmbH sehr einfach über eine Kartenansicht Grundbuchabfragen durchzuführen. Im Rahmen der Grundbuchabfragen können auch Flächenwidmungsdaten zu einem gesetzten Pin auf der Karte abgerufen werden.</t>
  </si>
  <si>
    <t>2024-06-11 06:14:27.832291</t>
  </si>
  <si>
    <t>["02ad6e25-2698-405f-a37b-99745b1ac69c"]</t>
  </si>
  <si>
    <t>4bc9fbcf-6431-4d33-97c4-6072c8fcf911</t>
  </si>
  <si>
    <t>parkpickerlzonen-wien</t>
  </si>
  <si>
    <t>Parkpickerlzonen Wien</t>
  </si>
  <si>
    <t>Parkpickerlzonen Wien richtet sich vorrangig an Besitzer eines Parkpickerls, sowie an Personen, die ein Parkpickerl erwerben wollen. Die App stellt sämtliche Parkpickerlzonen und Überlappungszonen auf der Karte grafisch dar. Der Benutzer kann per Klick auf eine Zone Detailinformationen wie zum Beispiel die Berechtigung, die benötigt wird, um in der ausgewählten Zone parken zu dürfen, abfragen. Selbstverständlich fehlen auch sämtliche Rafinessen wie Standort und Adresssuche nicht.</t>
  </si>
  <si>
    <t>2024-06-11 06:14:28.008809</t>
  </si>
  <si>
    <t>["71a6ca86-228a-4b57-b1bc-c3b887dd009e", "5983a1bb-62b6-4e26-afd0-dc234b34cf4b", "6d92970a-d698-418b-8576-f3b03dc1a59a", "4111e2d8-1729-4953-899a-c55bc382857e"]</t>
  </si>
  <si>
    <t>42d10e87-e7c8-40cf-94ca-c26c42e7efd8</t>
  </si>
  <si>
    <t>nationalpark-hohe-tauern</t>
  </si>
  <si>
    <t>Nationalpark Hohe Tauern</t>
  </si>
  <si>
    <t>Online-Kartendienst (Desktop- und Mobil-Version)</t>
  </si>
  <si>
    <t>2024-06-11 06:14:28.487879</t>
  </si>
  <si>
    <t>9ecf5959-2009-479c-90d8-c86457f6bb9b</t>
  </si>
  <si>
    <t>dogs-in-vienna</t>
  </si>
  <si>
    <t>Dogs in Vienna</t>
  </si>
  <si>
    <t>The goal of the project is to enhance usability of Open Data and to enhance its accessibility for non-expert users._x000D_
_x000D_
This is a sample script showing how open data datasets from the Vienna’s Open Data portal can be analysed and visualized using [Jupiter Notebooks](http://jupyter.org). We take the dog statistics data in Vienna as a sample use case to demonstrate common approaches to analysing open data. This is a first part of our data story, in which we focus on data loading and pre-processing.</t>
  </si>
  <si>
    <t>2024-06-11 06:14:29.664595</t>
  </si>
  <si>
    <t>["71edef44-9d6c-4042-ab71-7207dc930ba7"]</t>
  </si>
  <si>
    <t>dc314c08-2cab-485a-8624-0d499d04d2cd</t>
  </si>
  <si>
    <t>www-oesterreich-com</t>
  </si>
  <si>
    <t>www.oesterreich.com</t>
  </si>
  <si>
    <t>www.oesterreich.com ist den Freunden Österreichs in aller Welt gewidmet, die sich einen Überblick über qualitativ hochstehende Informationsangebote in deutscher Sprache verschaffen wollen. Bewusst wird dabei auf jeden Anspruch auf Vollständigkeit verzichtet.</t>
  </si>
  <si>
    <t>2024-06-11 06:14:28.249882</t>
  </si>
  <si>
    <t>8ecb9533-5f83-47a3-8cab-ed5005cd5b7b</t>
  </si>
  <si>
    <t>wiener-weihnachtsmaerkte</t>
  </si>
  <si>
    <t>Wiener Weihnachtsmärkte</t>
  </si>
  <si>
    <t>Eine Karte, die alle Weihnachtsmärkte und Silvesterstände zeigt. Sowie Taxistände für jene, die bereits zu viel Punsch intus haben. _x000D_
_x000D_
 </t>
  </si>
  <si>
    <t>2024-06-11 06:14:38.027469</t>
  </si>
  <si>
    <t>["16c7fa5b-e2ac-4558-b76c-506766d3949d", "be2e0197-57b8-4fcf-a144-cb33f7466f3a"]</t>
  </si>
  <si>
    <t>293ba310-b55c-47dd-b8b2-992ef7593a37</t>
  </si>
  <si>
    <t>wiennetz-at-schneller-einsteigen-umsteigen-aussteigen-wiener-linien-info</t>
  </si>
  <si>
    <t>wiennetz.at - schneller einsteigen - umsteigen - aussteigen - Wiener Linien Info</t>
  </si>
  <si>
    <t>Echtzeitdaten und Stationspläne der Wiener Linien direkt auf dein iPhone!_x000D_
Interaktive Karte: Einfach in der Karte eine Station auswählen. Dort bekommst du gleich Infos und kannst diese Station als Ausgangspunkt für deine Route übernehmen._x000D_
 Wo ist der Lift in der Station? Wir zeigen dir in den Stationen wo du Ausgänge, Aufzüge, Stiegenauf- und Stiegenabgänge und Toiletten findest._x000D_
 Du erfährst, welche Stationen in der Nähe sind!_x000D_
 Route planen!_x000D_
 Interessante Facts über dein Fahrverhalten!_x000D_
Nie wieder das Aussteigen vergessen: Wir schicken dir eine Pushnachricht wenn es soweit ist!</t>
  </si>
  <si>
    <t>2024-06-11 06:14:27.47843</t>
  </si>
  <si>
    <t>eadfc04c-bb4a-4801-a3ba-0563922382e7</t>
  </si>
  <si>
    <t>iski-x-your-free-ride-xperience</t>
  </si>
  <si>
    <t>iSKI X - your Free.Ride Xperience</t>
  </si>
  <si>
    <t>Diese App stellt die besten Freeride-Gebiete in den Alpen und die heißesten Spots auf der ganzen Welt vor. Neben den Schnee- und Wetterinformationen gibt es wichtige Sicherheitsfeatures, die das Fahren im Gelände sicherer machen sollen. Höchste Sicherheit durch Safety-Feature - das Safety-Feature informiert über die aktuelle Lawinenwarnstufe und sorgt so für Sicherheit abseits der Pisten. LVS Trainingsgelände werden angezeigt und der Safety Checker hilft einem bei der Grundausstattung auch wirklich alles für das Gelände eingepackt zu haben. Verhalten im Notfall und Gebote für Freerider sind auch unter diesem Punkt zu finden.</t>
  </si>
  <si>
    <t>2024-06-11 06:14:27.40345</t>
  </si>
  <si>
    <t>["e2e7100e-7094-48cf-9d6d-146a52c8dd8b"]</t>
  </si>
  <si>
    <t>964d3750-0341-4a04-ae2c-0d643f91963f</t>
  </si>
  <si>
    <t>defibrillatoren-in-oesterreich</t>
  </si>
  <si>
    <t>Defibrillatoren in Österreich</t>
  </si>
  <si>
    <t>Visualisierung der im OpenStreetMap gespeicherten Informationen über die öffentlich zugänglichen Defibrillatoren in Österreich. Die Defibrillatoren-Standorte der Stadt Wien wurden am 2014-10-16 in die OpenStreetMap-Datenbank importiert und werden daher auch dargestellt.</t>
  </si>
  <si>
    <t>2024-06-11 06:14:27.014449</t>
  </si>
  <si>
    <t>["96196887-5a20-4e93-a302-72f306f32c9d"]</t>
  </si>
  <si>
    <t>923839b2-4e69-40f9-ac7c-64f493188aab</t>
  </si>
  <si>
    <t>salzburger-badeplaetze</t>
  </si>
  <si>
    <t>Salzburger Badeplätze</t>
  </si>
  <si>
    <t>Öffentliche Badeplätze werden mit den Wassertemperaturen (wenn verfügbar) in einer Liste und auf Maps dargestellt.</t>
  </si>
  <si>
    <t>2024-06-11 06:14:27.219835</t>
  </si>
  <si>
    <t>["050f108b-8299-4d30-8ab0-10a0f289d725"]</t>
  </si>
  <si>
    <t>005e0aff-dbfb-4f9b-acbf-1e1bd2a718a5</t>
  </si>
  <si>
    <t>snowhow-freeride</t>
  </si>
  <si>
    <t>Snowhow Freeride</t>
  </si>
  <si>
    <t>Das Snowhow-Freerideapp bietet offline Kartenmaterial für den Alpenraum inklusive einer eigenen Kartenschicht, die die Hangneigung im Gelände angibt. Die Hangneigung ist ein entscheidender Parameter in den europäischen Entscheidungsstrategien der Lawinenkunde (vgl. &lt;http://goo.gl/y5Rmx&gt; ).</t>
  </si>
  <si>
    <t>2024-06-11 06:14:28.68063</t>
  </si>
  <si>
    <t>["2c54f4d6-5712-4e5a-a025-b7f7a396c39b", "e2e7100e-7094-48cf-9d6d-146a52c8dd8b", "46a7a06a-f69b-405e-aac2-77f775449ad3", "d585e816-1a36-4c76-b2dc-6db487d22ca3"]</t>
  </si>
  <si>
    <t>52b512bf-187c-4847-b561-2268db9562bf</t>
  </si>
  <si>
    <t>adlerweg-tirol-der-wanderweg-fuer-deine-hosentasche</t>
  </si>
  <si>
    <t>Adlerweg Tirol - Der Wanderweg für deine Hosentasche</t>
  </si>
  <si>
    <t>Du wohnst in Tirol oder machst Urlaub in diesem Bundesland? Du bist begeisterter Bergsteiger, planst den Tiroler Adlerweg zu begehen und möchtest Informationen zu den einzelnen Etappen immer bei dir haben?_x000D_
_x000D_
Dann ist dieses App genau das, was du suchst._x000D_
_x000D_
Sämtliche Informationen werden bei jedem Start des Apps automatisch aktualisiert, damit du immer auf dem neuesten Stand bist. Diese Daten werden vom Land Tirol bereitgestellt._x000D_
_x000D_
 _x000D_
_x000D_
FUNKTIONEN_x000D_
* Karten- und Listenansicht der Etappen des Adlerwegs_x000D_
* Darstellung der Route der Etappen des Wanderweges in der Kartenansicht_x000D_
* Auswahlmöglichkeit zwischen den iOS-Standardkarten, der OpenStreetMap und der OpenTopoMap_x000D_
* Filtern (Ein- und Ausblenden) der einzelnen Etappen_x000D_
* Anzeige von Detailinformationen, wie einer detaillierten Streckenbeschreibung, Einkehrmöglichkeiten, Schwierigkeitsgrad, Streckenlänge und viele mehr_x000D_
* Anzeige eines Höhenmeterdiagramms_x000D_
* Teilen der Etappen per Email, SMS und Twitter_x000D_
* Du kannst jede Etappe bewerten (Sterne-System und Bewertungstext), um den anderen Nutzern deine Erfahrungen mitteilen zu können_x000D_
* Lass dir eine Route berechnen_x000D_
* Volltextsuche im Filtermenü, Kartenansicht und Listenansicht_x000D_
_x000D_
_x000D_
 </t>
  </si>
  <si>
    <t>2024-06-11 06:14:40.639173</t>
  </si>
  <si>
    <t>["d705d383-a7aa-48ef-aa8a-d66ab25122f2"]</t>
  </si>
  <si>
    <t>3682b2e9-8613-44c6-b895-5ee68beb238a</t>
  </si>
  <si>
    <t>snowsafe</t>
  </si>
  <si>
    <t>SnowSafe</t>
  </si>
  <si>
    <t>Sicher im Schnee unterwegs mit aktuellen Lawinenlageberichten._x000D_
_x000D_
Ein Muss für alle Winterbegeisterten, Freerider und Skibergsteiger. Diese Lawinen App hilft dir, die Gefahr am Berg richtig einzuschätzen. Auch ohne Netz den aktuellen Lawinen-Lagebericht &amp; Wetter immer dabei.</t>
  </si>
  <si>
    <t>2024-06-11 06:14:27.361833</t>
  </si>
  <si>
    <t>["e2e7100e-7094-48cf-9d6d-146a52c8dd8b", "9a78b016-2cb4-4be3-aecd-60ff99b4f356"]</t>
  </si>
  <si>
    <t>13d674e9-09af-46e2-94cf-7112783baba1</t>
  </si>
  <si>
    <t>wahl-furt-at</t>
  </si>
  <si>
    <t>wahl.furt.at</t>
  </si>
  <si>
    <t>Zentrale Datenbank aller Wahlergebnisse in Österreich.</t>
  </si>
  <si>
    <t>2024-06-11 06:14:27.866373</t>
  </si>
  <si>
    <t>["09716341-2bea-4298-9525-e936d8247d19", "2b10a91b-51d5-4e34-b992-8fd3a3121f0d", "26f4d3e5-9ad6-456a-9045-34badb1f33cf"]</t>
  </si>
  <si>
    <t>6692c60f-b5cc-4b09-967e-4a4a1bc0174d</t>
  </si>
  <si>
    <t>webmaps</t>
  </si>
  <si>
    <t>Webmaps</t>
  </si>
  <si>
    <t>Webmaps ist ein exklusiver Kartenclub für die Immobilienwirtschaft und bietet umfangreiches Karten- und Fotomaterial renommierter Kartenverlage, Fotoanbieter sowie Landesvermessungsbehörden auf Grundlage eines einheitlichen Lizenzierungsmodells an._x000D_
_x000D_
 </t>
  </si>
  <si>
    <t>2024-06-11 06:14:38.635996</t>
  </si>
  <si>
    <t>["2c54f4d6-5712-4e5a-a025-b7f7a396c39b", "fc21780d-bbb0-4ec9-9cb2-8687fd28ebc2", "254757be-69ef-4a6c-a4c1-1432815d7522"]</t>
  </si>
  <si>
    <t>78305f41-7d5f-456a-857e-205a9d2a882d</t>
  </si>
  <si>
    <t>nether-quando</t>
  </si>
  <si>
    <t>Nether Quando</t>
  </si>
  <si>
    <t>Dies ist die inoffizielle App um Echtzeitdaten der Wiener Linien anzuzeigen, Routen von A nach B zu berechnen, Haltestellen zu finden und Fahrpläne abzurufen._x000D_
Nether Quando weiteres die offizielle Windows Phone App zu [schwarzkappler.info.](http://schwarzkappler.info.)_x000D_
_x000D_
Diese App bietet automatisches Aktualisieren der Abfahrtszeiten, graphische Darstellung der Routen auf einer Karte, Ortung der aktuellen Position über GPS und lokalisieren der nächsten Haltestelle, Störungsanzeige, Online Shop für Tickets, Meldungen zu Fahrscheinkontrollen, sowie erweiterte Einstellungsmöglichkeiten._x000D_
_x000D_
Es ist über einen Verlauf möglich schnell auf vorherige Haltestellen oder Routen zuzugreifen und besonders häufig verwendete Haltestellen können als Favoriten festgelegt werden oder an das Startmenü angepinnt werden._x000D_
_x000D_
Nether Quando ist völlig kostenlos und werbefrei._x000D_
_x000D_
Verwendet Open Data. Datenquelle: Stadt Wien – data.wien.gv.at</t>
  </si>
  <si>
    <t>2024-06-11 06:14:27.676024</t>
  </si>
  <si>
    <t>["522d3045-0b37-48d0-b868-57c99726b1c4", "9c203fec-dc0d-412c-a7a3-7fd77d0346f1", "c223b93a-2634-4f06-ac73-8709b9e16888"]</t>
  </si>
  <si>
    <t>1be9008d-f21b-4a67-ab6c-8d33a10a65cd</t>
  </si>
  <si>
    <t>gip-idf-parser-fuer-qgis</t>
  </si>
  <si>
    <t>GIP IDF-Parser für QGIS</t>
  </si>
  <si>
    <t>Mithilfe dieses Tools können GIP-Daten im IDF-Format in QGIS eingelesen werden.</t>
  </si>
  <si>
    <t>2024-06-11 06:14:27.509728</t>
  </si>
  <si>
    <t>["3fefc838-791d-4dde-975b-a4131a54e7c5"]</t>
  </si>
  <si>
    <t>261a01ec-acb0-49ed-ad28-a70a7ea560b0</t>
  </si>
  <si>
    <t>tarife-at-speedmap</t>
  </si>
  <si>
    <t>tarife.at SpeedMap</t>
  </si>
  <si>
    <t>Die SpeedMap analysiert hunderttausende Internet-Speedtest Messungen durch tarife.at sowie den RTR-Netztest und gibt daraufhin unverbindliche Schätzungen ab, welche Geschwindigkeiten Anbieter an einer bestimmten Adresse erreichen. Zusätzlich dazu werden die Rohdaten in Form eines statistischen Boxplots visualisiert. _x000D_
_x000D_
 </t>
  </si>
  <si>
    <t>2024-06-11 06:14:28.891656</t>
  </si>
  <si>
    <t>["13a9f9d7-f013-4b12-a990-387714039247"]</t>
  </si>
  <si>
    <t>8d72a0fe-8a20-45f0-9ab0-b014826f4565</t>
  </si>
  <si>
    <t>teleworking-in-wien</t>
  </si>
  <si>
    <t>Teleworking in Wien</t>
  </si>
  <si>
    <t>Eine interaktive Karte, auf der die besten Orte zum Teleworken in Wien angezeigt werden - inklusive WLAN-Standorte, öffentliche Parks, Schwimmbäder und Badestellen (für den Sprung ins kühle Nass zwischen zwei Excel-Tabellen...), Taxistandplätze und Citybike-Standorte (zwecks Erreichbarkeit), Hundezonen, sowie Kinder- und Jugendangeboten.</t>
  </si>
  <si>
    <t>2024-06-11 06:14:42.363243</t>
  </si>
  <si>
    <t>["354f9aa0-2f0a-4cdf-9b60-d023da93cc76", "be2e0197-57b8-4fcf-a144-cb33f7466f3a", "898afe8c-0297-45d6-b4b5-0cb9e632094b", "22add642-d849-48ff-9913-8c7ba2d99b46", "28a7419c-f432-4e1a-b0a6-aa9e71968a14", "523ba2e4-8c55-4dde-8acf-39e3621811b0", "7c6e9dbf-487b-4146-a379-19e46642c392", "cabad01a-8cc7-48c0-b7e8-ffbe1e685b26"]</t>
  </si>
  <si>
    <t>70f9f996-e430-4801-a5cb-17cf40024ced</t>
  </si>
  <si>
    <t>kigafinder-at-die-kindergartensuche-fuer-wien</t>
  </si>
  <si>
    <t>kigafinder.at - Die Kindergartensuche für Wien</t>
  </si>
  <si>
    <t>Finde den Kindergarten, der zu dir passt! Auf kigafinder.at findest Du alle öffentlichen und privaten Kindergärten in Wien. Mit Umkreissuche nach Wiener Adresse, umfassenden Kontaktdaten und Zusatzinformationen, übersichtlicher Landkarten-Darstellung und persönlichen Merklisten helfen wir Dir bei der Suche nach der besten Tagesbetreuung für dein Kind. _x000D_
_x000D_
 </t>
  </si>
  <si>
    <t>2024-06-11 06:14:38.569952</t>
  </si>
  <si>
    <t>["87f121a7-eef0-4be9-9372-a5efe5b4d375"]</t>
  </si>
  <si>
    <t>6c6bab17-43a2-404b-8926-f6f74f10cd79</t>
  </si>
  <si>
    <t>interaktive-verkehrsunfallkarte</t>
  </si>
  <si>
    <t>Interaktive Verkehrsunfallkarte</t>
  </si>
  <si>
    <t>- Straßenverkehrsunfälle der letzten Jahre_x000D_
_x000D_
- Informationen zu Zeitpunkt, beteiligten Fahrzeugen, Unfalltyp, Wetter- und Lichtverhältnissen sowie Ort des Unfalls_x000D_
_x000D_
- Animationsfunktion veranschaulicht den Tagesverlauf der Einzelunfälle nach Stunden_x000D_
_x000D_
- Karte als Straßenansicht oder als Luftbild</t>
  </si>
  <si>
    <t>2024-06-11 06:14:27.603604</t>
  </si>
  <si>
    <t>072240da-7374-4f93-ac7a-c1e74c3febd8</t>
  </si>
  <si>
    <t>how-to-reduce-range-anxiety-the-impact-of-digital-elevation-model-quality-on-energy-estimates-for-el</t>
  </si>
  <si>
    <t>How to Reduce Range Anxiety? The Impact of Digital Elevation Model Quality on Energy Estimates for Electric Vehicles</t>
  </si>
  <si>
    <t>Graser, A., Asamer, J., &amp; Dragaschnig, M. (2014). How to Reduce Range Anxiety? The Impact of Digital Elevation Model Quality on Energy Estimates for Electric Vehicles. GI\_Forum 2014, Salzburg, Austria. doi: 10.1553/giscience2014s165 _x000D_
_x000D_
 </t>
  </si>
  <si>
    <t>2024-06-11 06:14:27.79584</t>
  </si>
  <si>
    <t>["1039ed7e-97fb-435f-b6cc-f6a105ba5e09"]</t>
  </si>
  <si>
    <t>51203662-719a-4120-9b64-c589efb38cb9</t>
  </si>
  <si>
    <t>zeitlinie</t>
  </si>
  <si>
    <t>Zeitlinie</t>
  </si>
  <si>
    <t>Zeitlinie ist eine Website, die auf einer Karte die Entwicklung des Wiener Straßenbahnnetzes darstellt.</t>
  </si>
  <si>
    <t>2024-06-11 06:14:38.239822</t>
  </si>
  <si>
    <t>["1039ed7e-97fb-435f-b6cc-f6a105ba5e09", "2d0e9a21-fa5f-441d-948a-fe97a453a827", "36a8b9e9-909e-4605-a7ba-686ee3e1b8bf"]</t>
  </si>
  <si>
    <t>9bec6aa3-3cd7-43b9-823c-440c573bca80</t>
  </si>
  <si>
    <t>one2go</t>
  </si>
  <si>
    <t>One2Go</t>
  </si>
  <si>
    <t>One2Go beschäftigt sich mit Open Data in Österreich._x000D_
_x000D_
Funktionen:_x000D_
* Aktuelle Öffi-Abfahrtszeiten in der Nähe_x000D_
* Haltestellen: Alle | In der Nähe | Address-Suche_x000D_
* Bring mich: Nach Hause | Zur Arbeit | Zu einem anderen Ziel_x000D_
* Störungsanzeige der öffentlichen Verkehrsmittel in Wien (Wiener Linien)_x000D_
* Interaktive Kurzparkzonen, Kurzparkstreifen und Parkhäuser_x000D_
_x000D_
_x000D_
Features:_x000D_
* Favoriten Widget im "Heute"-Bildschirm (außerhalb der App)_x000D_
* Fußwege und Entfernung zu einer Haltestelle_x000D_
* Push-Benachrichtigungen für Störungen_x000D_
_x000D_
_x000D_
Die kleinen Feinheiten:_x000D_
* Große, gut lesbare Schrift_x000D_
* Übersichtliche Inhalte_x000D_
* Fokus auf Einfachheit_x000D_
* Sidebar-Menü an der linken Seite (jederzeit wischbar)_x000D_
* Die Inhalte bleiben auch beim Wechseln zwischen den Menüs erhalten_x000D_
_x000D_
_x000D_
Die iPhone App ist gratis, ohne Werbung oder nervige Bewertungs-Pop-Ups.</t>
  </si>
  <si>
    <t>2024-06-11 06:14:28.086568</t>
  </si>
  <si>
    <t>["522d3045-0b37-48d0-b868-57c99726b1c4", "6858b208-62bc-424e-9d7b-c89b74d3d3e3", "aa8876c7-9711-4969-b428-34400f2d0dbe", "9c203fec-dc0d-412c-a7a3-7fd77d0346f1"]</t>
  </si>
  <si>
    <t>a6e8fa15-559f-43f2-bc59-275af22cc7b3</t>
  </si>
  <si>
    <t>orf-at-wahl-app</t>
  </si>
  <si>
    <t>ORF.at Wahl-App</t>
  </si>
  <si>
    <t>Die Wahl-App von ORF.at hält die Leserschaft mit aktuellen Berichten stets über die öffentliche Debatte zu den wichtigsten anstehenden Wahlgängen auf dem Laufenden. Am Wahlabend präsentiert sie Ergebnisse und Analysen zeitnah und übersichtlich. Zur Visualisierung werden auf data.gv.at publizierte Wahlergebnisse sowie die Grundkarte basemap.at verwendet. _x000D_
_x000D_
 </t>
  </si>
  <si>
    <t>2024-06-11 06:14:38.700307</t>
  </si>
  <si>
    <t>["2c54f4d6-5712-4e5a-a025-b7f7a396c39b", "fff27cd6-426c-479f-ae66-077ae6f1437d"]</t>
  </si>
  <si>
    <t>5c510c10-a576-43e4-9ba2-e157696a1810</t>
  </si>
  <si>
    <t>subventions-checker</t>
  </si>
  <si>
    <t>Subventions-Checker</t>
  </si>
  <si>
    <t>Für die Darstellung der Subventionen und Förderungen der Städte Salzburg, Linz, Bregenz, Wels, Eisenstadt, Villach, Innsbruck und Graz wurde ein Datensatz mit Daten aus mehreren Jahren zusammengestellt. Die Darstellung erfolgt in Form einer Netzwerkgrafik. Die unterschiedlichen Förderkategorien werden in unterschiedlichen Farben dargestellt. Die Größe der Knoten entspricht der Höhe der Förderungen. Es sind Fördertöpfe (Kategorien) und Förderempfänger gleichzeitig zu sehen. Mittels Filtern können Einschränkungen getroffen werden. Wenn man die Maus über einen der Knoten fährt, werden Details zur jeweiligen Förderung angezeigt.</t>
  </si>
  <si>
    <t>2024-06-11 06:14:48.988338</t>
  </si>
  <si>
    <t>["2a0cb127-ea73-4cbd-a73f-e7d69d6fba5d"]</t>
  </si>
  <si>
    <t>3a815c50-1045-4200-87cc-a1b252569a54</t>
  </si>
  <si>
    <t>rms4biz-3</t>
  </si>
  <si>
    <t>rms4BIZ</t>
  </si>
  <si>
    <t>rms4BIZ ist eine webbasierende Lösung für die Etablierung von Rechtsmanagementsystemen. Neben tagesaktuellen Österreichischen Bundes- und Landesgesetzen stellt die Plattform auch eine Auswahl an EU-Vorschriften aus dem EUR-Lex zur Verfügung. Je nach erforderlichem Szenario ist die Nutzung der Plattform kostenlos oder mit geringen monatlichen Gebühren verbunden.</t>
  </si>
  <si>
    <t>2024-06-11 06:14:51.094052</t>
  </si>
  <si>
    <t>["0fb9ae1a-92cb-4ab8-a589-470c16d4fe21"]</t>
  </si>
  <si>
    <t>6f0c7a0e-ba6c-4eb7-b0c1-2b499d03c1ac</t>
  </si>
  <si>
    <t>facts4stops</t>
  </si>
  <si>
    <t>Facts4Stops</t>
  </si>
  <si>
    <t>Analyse des Haltestellenumfeldes für Raum- und Verkehrsplaner</t>
  </si>
  <si>
    <t>2024-06-11 06:14:28.352374</t>
  </si>
  <si>
    <t>e8f5fd52-2f85-4e95-ba37-2c4dd2efca5f</t>
  </si>
  <si>
    <t>firmen-a-z</t>
  </si>
  <si>
    <t>Firmen A-Z</t>
  </si>
  <si>
    <t>Mit 3,5 Mio. Zugriffen pro Monat ist das WKO Firmen A-Z das aktuellste und zuverlässigste Online-Firmenverzeichnis Österreichs. Es ist frei zugänglich und kostenlos. WKO-Mitglieder sind mit den Basisdaten gelistet und können ihr Profil individuell ergänzen.</t>
  </si>
  <si>
    <t>2024-06-11 06:14:28.182103</t>
  </si>
  <si>
    <t>b2c04bdd-10ac-4f4e-8d0a-f84719e56a75</t>
  </si>
  <si>
    <t>gip-idf-router-fuer-qgis</t>
  </si>
  <si>
    <t>GIP IDF-Router für QGIS</t>
  </si>
  <si>
    <t>Mit Hilfe dieses Tools können GIP-Daten im IDF-Format in QGIS eingelesen und darauf geroutet werden. Der Router unterstützt Fußgänger-, Fahrrad- und Auto-Routing und beachtet Einbahnen und Abbiegeverbote.</t>
  </si>
  <si>
    <t>2024-06-11 06:14:38.368778</t>
  </si>
  <si>
    <t>2d4d4882-388d-473b-a53d-9879edfd3642</t>
  </si>
  <si>
    <t>wl-monitor-pi</t>
  </si>
  <si>
    <t>WL-Monitor-Pi</t>
  </si>
  <si>
    <t>Abfahrtsmonitor für Raspberry Pi und Adafruit LCD 16x2 Display. Es können mehrere Steige (Linie, Station, Richtung) in Form von RBL-Nummern angegeben werden, welche dann im angegebenen Intervall rotierend angezeigt werden. _x000D_
_x000D_
 </t>
  </si>
  <si>
    <t>2024-06-11 06:14:29.928856</t>
  </si>
  <si>
    <t>da9fe1f6-996d-4b93-af0a-3987e551fbf7</t>
  </si>
  <si>
    <t>interaktiver-parkzonenplan-innsbruck</t>
  </si>
  <si>
    <t>Interaktiver Parkzonenplan Innsbruck</t>
  </si>
  <si>
    <t>In der interaktiven Stadtkarte sind die Parkzonen in Innsbruck eingezeichnet. Die Art der Parkzone ist farblich kodiert und anhand der Legende ersichtlich, ein Klick auf eine Parkzone zeigt mehr Details. Ein Klick auf den Button zentriert die Karte auf Ihre aktuelle Position. Im Dropdown-Menü können Sie Ihre Parkzone auswählen und auf der Karte farblich hervorheben.</t>
  </si>
  <si>
    <t>2024-06-11 06:14:29.302571</t>
  </si>
  <si>
    <t>["8ffd16df-e7b8-423b-8348-199e6a5bf0ca"]</t>
  </si>
  <si>
    <t>9fa12d47-980a-4d05-a6e4-9c41ce7a33c0</t>
  </si>
  <si>
    <t>abfahrt-2</t>
  </si>
  <si>
    <t>Zeigt Echtzeitdaten der Wiener Linien von Haltestellen in der Umgebung auf Android Wear Smartwatches an.</t>
  </si>
  <si>
    <t>2024-06-11 06:14:40.571657</t>
  </si>
  <si>
    <t>f57fe972-6c62-4fbb-9659-0b9e4578b978</t>
  </si>
  <si>
    <t>basemap-google-maps-2</t>
  </si>
  <si>
    <t>basemap-google-maps</t>
  </si>
  <si>
    <t>Basemap.at Kartenkacheln mit Google Maps JavaScript API v3 verwenden</t>
  </si>
  <si>
    <t>2024-06-11 06:14:38.30389</t>
  </si>
  <si>
    <t>["2c54f4d6-5712-4e5a-a025-b7f7a396c39b", "254757be-69ef-4a6c-a4c1-1432815d7522"]</t>
  </si>
  <si>
    <t>d3f4a808-61e5-49b7-a7b6-1abc06757c85</t>
  </si>
  <si>
    <t>cycletripmap</t>
  </si>
  <si>
    <t>CycleTripMap</t>
  </si>
  <si>
    <t>Die CycleTripMap ist das Ergebnis einer Kooperation zwischen AIT und Radlobby Österreich. Basierend auf Daten der Kampagne "Radelt zur Arbeit" zeigt die CycleTripMap die beliebtesten Fahrradrouten in Wien. Die Analyseergebnisse ermöglichen es sowohl qualitative als auch quantitative Aussagen über den Radverkehr zu treffen._x000D_
_x000D_
 </t>
  </si>
  <si>
    <t>2024-06-11 06:14:38.337404</t>
  </si>
  <si>
    <t>8562bfb0-009c-4617-8f3f-b988039e97dd</t>
  </si>
  <si>
    <t>wahllinie</t>
  </si>
  <si>
    <t>Wahllinie</t>
  </si>
  <si>
    <t>Wahllinie beleuchtet die Wahlergebnisse verschiedenster (Wiener) Wahlen aus dem Blickwinkel der öffentlichen Verkehrsmittel und stellt diese anhand jeder Linie in einem Liniendiagramm dar.</t>
  </si>
  <si>
    <t>2024-06-11 06:14:38.205312</t>
  </si>
  <si>
    <t>["522d3045-0b37-48d0-b868-57c99726b1c4", "36a8b9e9-909e-4605-a7ba-686ee3e1b8bf", "79c1030d-5cf6-4d58-ade6-02f66fb4dffb"]</t>
  </si>
  <si>
    <t>f96cd8b4-ff91-4607-911e-768d937f8dd8</t>
  </si>
  <si>
    <t>oeffimonitor</t>
  </si>
  <si>
    <t>Öffimonitor</t>
  </si>
  <si>
    <t>Ein Display im Metalab, das die aktuellen Fahrzeiten der Stationen in der Umgebung anzeigt</t>
  </si>
  <si>
    <t>2024-06-11 06:14:30.025161</t>
  </si>
  <si>
    <t>5b541eea-fc3e-4eb2-a301-9ce31cdc8ee6</t>
  </si>
  <si>
    <t>parkplatzsuche-at</t>
  </si>
  <si>
    <t>Parkplatzsuche.at</t>
  </si>
  <si>
    <t>Parkplatzsuche.at ist ein Such- und Anzeigenportal für Parkmöglichkeiten in Österreichs Städten. Parkplatzsuche.at nutzt die offenen Datensätze über österreichische Kurzparkzone, um Nutzer neben den Parkhäusern und Tiefgaragen auch über die Parkmöglichkeit am Straßenrand zu informieren.</t>
  </si>
  <si>
    <t>2024-06-11 06:14:29.368255</t>
  </si>
  <si>
    <t>["6858b208-62bc-424e-9d7b-c89b74d3d3e3", "8ffd16df-e7b8-423b-8348-199e6a5bf0ca"]</t>
  </si>
  <si>
    <t>0a638ac5-eaac-4df6-b09a-1224215f6794</t>
  </si>
  <si>
    <t>dianachttopo</t>
  </si>
  <si>
    <t>Dianacht/Topo</t>
  </si>
  <si>
    <t>Eine Topographische Karte aus OpenStreetMap-Daten mit Höhenlinien und Schummerung aus den 10m-Höhenwerten von data.gv.at.</t>
  </si>
  <si>
    <t>2024-06-11 06:14:38.604118</t>
  </si>
  <si>
    <t>["d88a1246-9684-480b-a480-ff63286b35b7"]</t>
  </si>
  <si>
    <t>7266c75a-dcdc-4d95-9800-bd0faab020ec</t>
  </si>
  <si>
    <t>qando</t>
  </si>
  <si>
    <t>Öffi-App der Wiener Linien</t>
  </si>
  <si>
    <t>2024-06-11 06:14:28.613352</t>
  </si>
  <si>
    <t>a1496119-1a7c-4189-9cf2-5e135591dcc1</t>
  </si>
  <si>
    <t>shapefile-projectionfinder</t>
  </si>
  <si>
    <t>SHAPEFILE PROJECTIONFINDER</t>
  </si>
  <si>
    <t>Das GIS-Tool SHAPEFILE PROJECTIONFINDER wird als Lösungsvorschlag im Zusammenhang mit Geodaten und unbekannter Projektion präsentiert. Zielgruppe dieses Programms sind vor allem Anwender, die mit geringen Fachkenntnissen zu Koordinatensystemen ohne Aufwand gelieferte Daten in GIS-Projekte lagerichtig integrieren möchten.</t>
  </si>
  <si>
    <t>2024-06-11 06:14:38.162189</t>
  </si>
  <si>
    <t>327dcf83-a737-44dd-a0b6-f3dc2b449d07</t>
  </si>
  <si>
    <t>herold-at</t>
  </si>
  <si>
    <t>HEROLD.at</t>
  </si>
  <si>
    <t>HEROLD.at ist das größte österreichische Portal für die Suche nach Unternehmen, Produkten, Marken, Dienstleistungen, Rufnummern und Adressen, inklusive Bewertungen, Kartenansicht und Routenplanung.</t>
  </si>
  <si>
    <t>2024-06-11 06:14:28.215633</t>
  </si>
  <si>
    <t>b8543991-a276-4bfa-be73-0228340ffc56</t>
  </si>
  <si>
    <t>f-online</t>
  </si>
  <si>
    <t>F-Online</t>
  </si>
  <si>
    <t>F-Online ist eine kostenlose Lernplattform für die theoretische Fahrprüfung in Österreich. Ob daheim oder unterwegs, beim Lernen mit unseren Lernapps kannst du die offiziellen Prüfungsfragen wiederholen und dich ideal auf die Prüfung vorbereiten._x000D_
_x000D_
Außerdem listen wir alle Fahrschulen in Österreich, damit du die für dich ideale Fahrschule in deiner Nähe finden kannst!</t>
  </si>
  <si>
    <t>2024-06-11 06:14:38.434276</t>
  </si>
  <si>
    <t>ef1e0220-d4dc-4654-8c12-a036805fdd47</t>
  </si>
  <si>
    <t>r3-trees</t>
  </si>
  <si>
    <t>R3 TREES</t>
  </si>
  <si>
    <t>R3 TREES ist eine Webapplikation für die Verwaltung von Baumkataster, Baumkontrollen und andere Elemente der Grünanlagen. Zu jedem Objekt werden sämtliche Sichtkontrollen, geräteunterstützte Untersuchungen und Pflegeeingriffe verknüpft, sowie eventuelle Fotos und Dokumente. Dieser Ansatz ermöglicht es die genaue Situation der Grünanlagen unter Kontrolle zu haben und die Rechtssicherheit zu gewährleisten. Über eine Android App kann man die Daten auch vor Ort pflegen.</t>
  </si>
  <si>
    <t>2024-06-11 06:14:38.502574</t>
  </si>
  <si>
    <t>06e95450-d251-4240-9654-9feeba1d7f52</t>
  </si>
  <si>
    <t>data-finder</t>
  </si>
  <si>
    <t>Data Finder</t>
  </si>
  <si>
    <t>Data Finder verwendet Metadaten im RDF Format um eine Facettensuche über sechs österreichische Open Data Portale zu ermöglichen. _x000D_
_x000D_
 </t>
  </si>
  <si>
    <t>2024-06-11 06:14:29.335179</t>
  </si>
  <si>
    <t>fe7a86fc-d433-4b34-ac0a-ce0b3e800ca8</t>
  </si>
  <si>
    <t>campus-wu-wien</t>
  </si>
  <si>
    <t>Campus WU Wien</t>
  </si>
  <si>
    <t>Suche am Campus der Wirtschaftsuniversität (WU) Wien.</t>
  </si>
  <si>
    <t>2024-06-11 06:14:28.286169</t>
  </si>
  <si>
    <t>d8f6d694-bf2f-4edd-b947-11f058b18670</t>
  </si>
  <si>
    <t>susi-die-info-fuer-stadt-region</t>
  </si>
  <si>
    <t>Susi - Die Info für Stadt &amp; Region</t>
  </si>
  <si>
    <t>Susi ist die Info für Stadt &amp; Region. Mit der kostenlosen App für iOS und Android finden User schnell und einfach Unternehmen und Angebote in ihrer Nähe - in ganz Österreich. Restaurants, Supermärkte, Tankstellen, Bankomat-Standorte, Trinkbrunnen und vieles mehr werden mit den dazugehörigen Öffnungszeiten, Kontaktdaten und Bewertungen der Susi-User direkt auf das Smartphone geliefert.</t>
  </si>
  <si>
    <t>2024-06-11 06:14:47.036264</t>
  </si>
  <si>
    <t>["2ed52078-7e55-40ea-8036-0d89118a06f4", "8d482810-26da-4bbc-8599-6b1fd1ab8743", "98908792-f315-4834-9b5e-20fed66cbe5a", "28a7419c-f432-4e1a-b0a6-aa9e71968a14", "be2e0197-57b8-4fcf-a144-cb33f7466f3a", "146384fc-3f64-4482-a78a-2f082411a27d", "c6fc4688-1aca-4363-bd1a-8d14ea08d2f8", "523ba2e4-8c55-4dde-8acf-39e3621811b0", "bd8b518b-d812-46f9-b367-4c1b660cfc99"]</t>
  </si>
  <si>
    <t>0f5c53a3-5a36-4c3b-b048-7febc3dc423f</t>
  </si>
  <si>
    <t>lebensraum-mur</t>
  </si>
  <si>
    <t>Lebensraum Mur</t>
  </si>
  <si>
    <t>Geobeteiligung Bruck/Mur: Die Karte informiert über bereits entstandenen Ideen zum Thema Events, Bewusstseinsbildung, Familienfreundlichkeit, Freizeit, Kultur, Murufer- und Wegegestaltung.</t>
  </si>
  <si>
    <t>2024-06-11 06:14:28.420488</t>
  </si>
  <si>
    <t>4c19ba91-bc3b-4c18-8d68-7d554e34f4a2</t>
  </si>
  <si>
    <t>netzwerkanalyse-im-20-wiener-gemeindebezirk-polizeistandorte-und-der-weg-zu-potentiellen-unfallorten</t>
  </si>
  <si>
    <t>Netzwerkanalyse im 20. Wiener Gemeindebezirk: Polizeistandorte und der Weg zu potentiellen Unfallorten</t>
  </si>
  <si>
    <t>Hierbei handelt es sich um ein Tutorial zur Anwendung von GIP-Daten für den ESRI ArcGIS Network Analyst.</t>
  </si>
  <si>
    <t>2024-06-11 06:14:29.064631</t>
  </si>
  <si>
    <t>["3fefc838-791d-4dde-975b-a4131a54e7c5", "298e6b5a-21a8-4d56-9484-1bac58c94a26"]</t>
  </si>
  <si>
    <t>e5966ffb-b329-436e-bae3-12e74a6dc1cf</t>
  </si>
  <si>
    <t>wahlsprengelkarte-zur-gemeinderats-bezirksvertretungswahl-2015</t>
  </si>
  <si>
    <t>Wahlsprengelkarte zur Wahlergebnissen auf Gemeinde- und Sprengelebene</t>
  </si>
  <si>
    <t>Die Karte zeigt die Wahlergebnisse der Wahlen seit 2005 auf Sprengel-Ebene und ermöglicht mit verschiedenen Darstellungsformen die Analyse der Daten. Verfügbar sind Karten der Städte Graz, Innsbruck, Wien, Salzburg und Steyr, sowie von Steiermark, Oberösterreich, Niederösterreich und Tirol.</t>
  </si>
  <si>
    <t>2024-06-11 06:14:38.399804</t>
  </si>
  <si>
    <t>["79c1030d-5cf6-4d58-ade6-02f66fb4dffb", "fff27cd6-426c-479f-ae66-077ae6f1437d", "afceffe9-6f2e-48a4-8d8d-a9b83c5a69f3", "0cae36bb-6424-406f-8ed9-27b1d5bced57", "54171a40-1cfd-11e2-892e-0800200c9a66", "5777dc31-1f38-4f9b-9c97-7398c12a55bf"]</t>
  </si>
  <si>
    <t>4500eee6-bb4b-47b4-a622-cca2f3803e88</t>
  </si>
  <si>
    <t>wl-rbl-search</t>
  </si>
  <si>
    <t>WL RBL Search</t>
  </si>
  <si>
    <t>Suche nach RBL-ID (Rechnergesteuertes Betriebsleitsystem) über Linie und Station und Richtung/Steig.</t>
  </si>
  <si>
    <t>2024-06-11 06:14:28.796035</t>
  </si>
  <si>
    <t>ab71f058-7c2d-4e5f-85aa-9a03e2bc1dc4</t>
  </si>
  <si>
    <t>campus-alpen-adria-universitaet</t>
  </si>
  <si>
    <t>Campus Alpen-Adria Universität</t>
  </si>
  <si>
    <t>Der Campus der AAU erstreckt sich in Klagenfurt über insgesamt 100.254 m².</t>
  </si>
  <si>
    <t>2024-06-11 06:14:28.519846</t>
  </si>
  <si>
    <t>f17381d5-f76a-4007-a98c-2b699cfe7d76</t>
  </si>
  <si>
    <t>bergfex-at</t>
  </si>
  <si>
    <t>bergfex.at</t>
  </si>
  <si>
    <t>Plattform für Skigebiete und Sommerregionen Österreichs</t>
  </si>
  <si>
    <t>2024-06-11 06:14:50.508109</t>
  </si>
  <si>
    <t>8de77074-8024-4b5f-8b95-2e8b4912e7d5</t>
  </si>
  <si>
    <t>grex-wissen-was-laeuft</t>
  </si>
  <si>
    <t>GREX - wissen was läuft</t>
  </si>
  <si>
    <t>Das GREX Radar zeigt dir Plätze und Events in deiner Umgebung wo gerade jetzt was los ist. Du kannst mit der App auch anderen zeigen dass es bei dir gerade wirklich cool ist. Dadurch kommen mehr Leute. Mehr Leute, mehr Spass. Spots können auch Goodies ausspielen. Suche nach den grünen Sternen und hole dir deine Belohnung.</t>
  </si>
  <si>
    <t>2024-06-11 06:14:47.108268</t>
  </si>
  <si>
    <t>["b01585af-110f-4f87-9bf1-06805605926c", "354f9aa0-2f0a-4cdf-9b60-d023da93cc76", "2ed52078-7e55-40ea-8036-0d89118a06f4", "146384fc-3f64-4482-a78a-2f082411a27d"]</t>
  </si>
  <si>
    <t>9d830f59-3fa9-40f4-9047-f3867a359a4f</t>
  </si>
  <si>
    <t>global-2000-bienen-check</t>
  </si>
  <si>
    <t>GLOBAL 2000 Bienen-Check</t>
  </si>
  <si>
    <t>_x000D_
_x000D_
_x000D_
_x000D_
_x000D_
_x000D_
_x000D_
_x000D_
_x000D_
_x000D_
Der GLOBAL 2000 Bienen-Check ist Österreichs Initiative zum Schutz der Wildbienen. Großteil der 700 Wildbienenarten in Österreich ist bereits bedroht, einige Populationen umfassen sogar nur noch 80 Tiere. Helfen Sie mit Österreichs Wildbienen zu dokumentieren, denn jede Biene zählt! Eine gemeinsame Initiative von GLOBAL 2000 und Ö3._x000D_
_x000D_
![](https://www.global2000.at/sites/global/files/BienenCheck.jpg)         ![](https://www.global2000.at/sites/global/files/BienenCheck2.jpg)_x000D_
_x000D_
_x000D_
_x000D_
_x000D_
_x000D_
_x000D_
_x000D_
_x000D_
_x000D_
_x000D_
 </t>
  </si>
  <si>
    <t>2024-06-11 06:14:28.117469</t>
  </si>
  <si>
    <t>af768d88-f2cc-4f41-81b2-12a8fbf4cdd7</t>
  </si>
  <si>
    <t>pendlerrechner</t>
  </si>
  <si>
    <t>Pendlerrechner</t>
  </si>
  <si>
    <t xml:space="preserve">Das Ergebnis des Pendlerrechners dient als Grundlage für die Inanspruchnahme des Pendlerpauschales und des Pendlereuros._x000D_
</t>
  </si>
  <si>
    <t>2024-06-11 06:14:28.149456</t>
  </si>
  <si>
    <t>8a8e4cd7-60bc-45ef-b7fa-c1b922526c4c</t>
  </si>
  <si>
    <t>solarpotenziale-tirol</t>
  </si>
  <si>
    <t>Solarpotenziale Tirol</t>
  </si>
  <si>
    <t>Web-Kartendienst mit Informationsmodul zur interaktiven Darstellung und Abfrage von Solarstrahlung und Sonnenscheindauer sowie Sonnenbahnen. Für Dachflächen (Stand 2013) können Auswertungen und Geodaten von Solarenergiepotenzialen abgefragt bzw. übertragen werden.</t>
  </si>
  <si>
    <t>2024-06-11 06:14:37.209792</t>
  </si>
  <si>
    <t>["4c1e5a1a-9847-4814-8018-0bcaf7f0aead"]</t>
  </si>
  <si>
    <t>a2769cb0-a096-4743-bcd3-8493ba1cea63</t>
  </si>
  <si>
    <t>openslopemap-2</t>
  </si>
  <si>
    <t>OpenSlopeMap - Die Hangneigungskarte</t>
  </si>
  <si>
    <t>OpenSlopeMap bietet eine Hangneigungskarte für Österreich und Südtirol und soll helfen, alpine Unternehmungen ein Stück sicherer durchführen zu können. Die Karte kann sowohl online im Browser als auch für Offline-Nutzung (auf Android, iOS, Linux, Windows, macOS) heruntergeladen werden. _x000D_
_x000D_
 </t>
  </si>
  <si>
    <t>2024-06-11 06:14:37.885647</t>
  </si>
  <si>
    <t>["d88a1246-9684-480b-a480-ff63286b35b7", "b5de6975-417b-4320-afdb-eb2a9e2a1dbf", "3d3c6c1c-56a1-4b78-af2c-56f476e91155", "bb8ccada-44cf-4f91-a84d-d602938c0529", "e45374c0-3e40-434c-92dc-203492ccee49", "a83f651d-9942-4699-92f5-a01051a43992", "46a7a06a-f69b-405e-aac2-77f775449ad3", "0454f5f3-1d8c-464e-847d-541901eb021a"]</t>
  </si>
  <si>
    <t>d09786ca-f4be-4302-b2db-807c68a161e2</t>
  </si>
  <si>
    <t>cap4access</t>
  </si>
  <si>
    <t>CAP4Access</t>
  </si>
  <si>
    <t>Das von der EU geförderte Projekt CAP4Access möchte das Umfeld von Menschen mit Gehbehinderungen, insbesondere für Rollstuhlfahrer, erträglicher gestalten. CAP4Access bietet eine OSM-basierte Plattform zur kollaborativen Markierung von Orten in Bezug auf ihre Zugänglichkeit und zur Navigation. Darüber hinaus werden extern vorhandene Datenquellen für OSM erschlossen. So wurde der Datensatz der Stadt Wien zu Gehsteigabsenkungen in OSM integriert, um ihn bei der Navigation berücksichtigen zu können. _x000D_
_x000D_
 </t>
  </si>
  <si>
    <t>2024-06-11 06:14:38.467983</t>
  </si>
  <si>
    <t>["5349b414-5069-45be-8869-7d94261d4936"]</t>
  </si>
  <si>
    <t>f588b902-ebb5-4956-acdc-28a608622a64</t>
  </si>
  <si>
    <t>siedlungsgeschichte-innsbruck-und-marthadoerfer</t>
  </si>
  <si>
    <t>Siedlungsgeschichte Innsbruck und Marthadörfer</t>
  </si>
  <si>
    <t>Diese Webapplikation visualisiert die Siedlungsgeschichte von Innsbruck und den Marthadörfern von ca. 1855 bis heute. Vier Kartenfenster zeigen immer den gleichen Ausschnitt. So sind historische Vergleiche sehr gut möglich.</t>
  </si>
  <si>
    <t>2024-06-11 06:14:37.11452</t>
  </si>
  <si>
    <t>["35691b6c-9ed7-4517-b4b3-688b0569729a"]</t>
  </si>
  <si>
    <t>647f1045-b032-480c-a8f4-87a9690ba8aa</t>
  </si>
  <si>
    <t>data-gv-at-individualentwicklungen</t>
  </si>
  <si>
    <t>data.gv.at - Individualentwicklungen</t>
  </si>
  <si>
    <t>Der Source Code der Individualentwicklungen ist auf &lt;https://github.com/datagvat&gt; verfügbar.</t>
  </si>
  <si>
    <t>2024-06-11 06:14:33.99412</t>
  </si>
  <si>
    <t>c8a654cf-4573-4cb9-808e-c0959c468aae</t>
  </si>
  <si>
    <t>mapnificent-vienna</t>
  </si>
  <si>
    <t>Mapnificent Vienna</t>
  </si>
  <si>
    <t>Mapnificent Vienna zeigt, wie weit man mit den Wiener Linien von selbstgewählten Startpunkten kommt. Dies ermöglicht es, Fragen zu beantworten wie: Wo sollte ich wohnen, um in 25 Minuten bei der Arbeit zu sein?</t>
  </si>
  <si>
    <t>2024-06-11 06:14:30.283684</t>
  </si>
  <si>
    <t>["ab4a73b6-1c2d-42e1-b4d9-049e04889cf0"]</t>
  </si>
  <si>
    <t>1d56ac76-23d5-4a9a-ac7a-82fc91dade9d</t>
  </si>
  <si>
    <t>nicemap-at</t>
  </si>
  <si>
    <t>nicemap.at</t>
  </si>
  <si>
    <t>Technischer Prototyp einer basemap.at ähnlichen Karte auf Basis Mapbox Vektorkacheln mit clientseitigem Styling und Rendering mittels WebGL. _x000D_
\* zusätzlicher Style: Schwarz/Weiß_x000D_
\* zusätzlicher Style Blaupause_x000D_
\* Stufenloser Zoom_x000D_
\* Rotation der Karte_x000D_
\* Blickwinkeländerung_x000D_
\* animierter Flug _x000D_
_x000D_
 </t>
  </si>
  <si>
    <t>2024-06-11 06:14:28.860073</t>
  </si>
  <si>
    <t>["7cf0da04-1f77-4321-929e-78172c74aa0b", "76c2e577-268f-4a93-bccd-7d5b43b14efd", "1039ed7e-97fb-435f-b6cc-f6a105ba5e09", "ee97fa6e-e96c-4f37-ae3f-26b2ed3ada0d"]</t>
  </si>
  <si>
    <t>a573d1be-6dfd-43f7-985c-9eac838ba960</t>
  </si>
  <si>
    <t>multimodaler-abfahrtsmonitor</t>
  </si>
  <si>
    <t>Multimodaler Abfahrtsmonitor</t>
  </si>
  <si>
    <t>Der multimodale Abfahrtsmonitor zeigt Informationen über öffentliche Verkehrsmittel, Citybikes, das Wetter sowie Car2Go Fahrzeuge an. Vorgesehen ist er als fixe Einrichtung im Eingangsbereich von Gebäuden, wie etwa Fachhochschulen oder Universitäten, um Personen die verschiedenen Verkehrsmodi der Umgebung und die aktuelle Verkehrslage anzuzeigen.</t>
  </si>
  <si>
    <t>2024-06-11 06:14:28.923567</t>
  </si>
  <si>
    <t>["522d3045-0b37-48d0-b868-57c99726b1c4", "9b40a0af-a6fe-47ff-9624-2ea8f40c746f", "523ba2e4-8c55-4dde-8acf-39e3621811b0", "2c54f4d6-5712-4e5a-a025-b7f7a396c39b"]</t>
  </si>
  <si>
    <t>28288013-60b7-4e81-aa41-e99a3a1f7138</t>
  </si>
  <si>
    <t>geoszene-wien</t>
  </si>
  <si>
    <t>Geoszene Wien</t>
  </si>
  <si>
    <t>Erstellung kostenfreier Software für das Flugtraining bei Sichtbedingungen im Flugsimulator Prepar3D basierend auf Luftbildern und ergänzt mit Autogengebäuden und Bewuchs.</t>
  </si>
  <si>
    <t>2024-06-11 06:14:38.536492</t>
  </si>
  <si>
    <t>5f40fa98-a979-45f8-9168-815be2e9d676</t>
  </si>
  <si>
    <t>verkehrsauskunft-oesterreich-vao</t>
  </si>
  <si>
    <t>Verkehrsauskunft Österreich (VAO)</t>
  </si>
  <si>
    <t>Die Verkehrsauskunft Österreich (VAO) ist eine Verkehrsmittel übergreifende gemeinsame Verkehrsauskunft für ganz Österreich, die das gesamte Verkehrsgeschehen abdeckt. Es werden Routinginformationen und sonstige Informationsinhalte für die meisten Verkehrsmittel und deren Verknüpfungsmöglichkeiten zur Verfügung gestellt, wie z.B.: PKW-Routing, Öffi-Routing, Fahrrad-Routing, Bike &amp; Ride, Park &amp; Ride, Leihfahrräder, Carsharing usw.</t>
  </si>
  <si>
    <t>2024-06-11 06:14:28.385157</t>
  </si>
  <si>
    <t>eaacf22e-a6fa-4167-a8d8-a76c8589a5df</t>
  </si>
  <si>
    <t>geoland-at</t>
  </si>
  <si>
    <t>geoland.at</t>
  </si>
  <si>
    <t xml:space="preserve">Das kostenlose Geodatenportal der österreichischen Länder._x000D_
</t>
  </si>
  <si>
    <t>2024-06-11 06:14:28.318395</t>
  </si>
  <si>
    <t>e53a8765-a0d7-4c6f-a797-92837b415189</t>
  </si>
  <si>
    <t>citybike-2</t>
  </si>
  <si>
    <t>CityBike</t>
  </si>
  <si>
    <t>Zeigt CityBike-Stationen an</t>
  </si>
  <si>
    <t>2024-06-11 06:14:29.236838</t>
  </si>
  <si>
    <t>75d3e73e-8050-4243-9657-c9da471a6a3c</t>
  </si>
  <si>
    <t>wordpress-openstreetmap-plugin</t>
  </si>
  <si>
    <t>WordPress OpenStreetMap Plugin</t>
  </si>
  <si>
    <t>Adds customized map to your WP Site. Maps basemap.at can be simple integrated with this WP OSM Plugin by the type=“basemap\_at“ from OSM-plugin Version 2.5.</t>
  </si>
  <si>
    <t>2024-06-11 06:14:28.549531</t>
  </si>
  <si>
    <t>6401d0d8-fd03-4bfc-b09c-4028a658e4e1</t>
  </si>
  <si>
    <t>stroemungssimulation-stadtklima</t>
  </si>
  <si>
    <t>Strömungssimulation &amp; Stadtklima</t>
  </si>
  <si>
    <t>Wir verwenden ausgewählte Datensätze um Windlast und Mikroklima-Simulationen im urbanen Raum zu berechnen - siehe Beispiel im verlinkten Video.</t>
  </si>
  <si>
    <t>2024-06-11 06:14:29.269892</t>
  </si>
  <si>
    <t>["214a3e63-31aa-47de-a49c-5ea5a80330ed"]</t>
  </si>
  <si>
    <t>eb0683a1-68d0-420b-8533-16f008da1a2c</t>
  </si>
  <si>
    <t>web-applikation-zur-graphenintegrations-plattform-gip</t>
  </si>
  <si>
    <t>Web-Applikation zur Graphenintegrations-Plattform GIP</t>
  </si>
  <si>
    <t>Dies ist eine Web-Applikation über die Graphenintegrations-Plattform GIP, welche von der Firma SynerGIS bereitgestellt wird. Sie dient als beispielhafte Applikation, die ein paar der Funktionen von ArcGIS Online darstellen soll._x000D_
Sie finden hier den österreichweiten Verkehrsgraphen der GIP, sowie aus diesem extrahierte Autobahnen und Bahnstrecken als eigenen Layer. Weiters sind zusätzliche Funktionalitäten, wie etwa das Selektieren und Exportieren von Elementen oder das Ändern der Grundkarte über die Widgets aufrufbar. _x000D_
_x000D_
 </t>
  </si>
  <si>
    <t>2024-06-11 06:14:38.125217</t>
  </si>
  <si>
    <t>eee39515-6b7a-4e37-8f39-58cdf4d66c31</t>
  </si>
  <si>
    <t>ogd-app-observatory</t>
  </si>
  <si>
    <t>OGD App Observatory</t>
  </si>
  <si>
    <t>The OGD App Observatory publishes metadata about applications (i.e., Apps) created based on the Open Government Data. This metadata is described in terms of a newly proposed OGDA ontology and is exposed as Linked Open Data. An LOD interface and a SPARQL endpoint are provided. Additionally, this metadata can be browsed and analysed through an intuitive visual interface._x000D_
_x000D_
The metadata about the OGD apps has been collected both by automated processing of relevant RSS feeds and by manual expert analysis. For example, a group of master students determined by inspection the type of the app creator (Government, Individual and Organization), the domain that the application is most relevant for (e.g., Health, Transportation, Education) or the sustainability aspect best supported by the app (economic, social, environmental).</t>
  </si>
  <si>
    <t>2024-06-11 06:14:28.580731</t>
  </si>
  <si>
    <t>7c3d1682-6182-431e-bfb1-a1eaf980fbcd</t>
  </si>
  <si>
    <t>park-me</t>
  </si>
  <si>
    <t>park.ME</t>
  </si>
  <si>
    <t>park.ME ist das innovative, komfortable und vor allem transparenteste Handy-Parksystem für Ihr Smartphone! Das Handling ist simpel und clever zugleich._x000D_
park.ME informiert automatisch über Gebührenpflicht, Parkzonen, Kurzparktarife, max. Abstelldauer u.v.m. Einfach Start drücken und Ihr Parkschein ist gebucht! _x000D_
_x000D_
 </t>
  </si>
  <si>
    <t>2024-06-11 06:14:38.092774</t>
  </si>
  <si>
    <t>["6858b208-62bc-424e-9d7b-c89b74d3d3e3", "aa8876c7-9711-4969-b428-34400f2d0dbe", "6d92970a-d698-418b-8576-f3b03dc1a59a"]</t>
  </si>
  <si>
    <t>96fa228b-2fe7-4aef-9f65-4d0b4c69b0c2</t>
  </si>
  <si>
    <t>sitytrail-austria</t>
  </si>
  <si>
    <t>SityTrail Austria</t>
  </si>
  <si>
    <t xml:space="preserve">SityTrail hat viele Funktionen für alle Outdooraktivitäten:_x000D_
* Entdecken sie **hunderte von interaktiven Wanderungen und Touren** in ihrer Nähe oder in den Ferien._x000D_
* Packen sie alle **topografischen Karten** auf ihrem Android oder iOS Spartphone oder auf ihrem Tablet in ihren Rucksack und lassen sie die Papierkarten zu hause..._x000D_
* **Nehmen sie ihre eigene Tour in Echtzeit auf,** ohne auf eine Internetverbindung angewiesen zu sein!_x000D_
* Zeigen sie dann zuhause **ihre Abenteuer in 3D an** und teilen sie sie mit ihren Bekannten._x000D_
* **Greifen sie auf zahlreiche Tourismusinformationen zu**: Herbergen, Restaurants, Attraktionen, Wikipedia Artikel ..._x000D_
* **Erstellen, bearbeiten und drucken sie ihre Touren** auf ihrem PC und teilen sie sie mit Hilfe von QRCodes._x000D_
</t>
  </si>
  <si>
    <t>2024-06-11 06:14:28.957386</t>
  </si>
  <si>
    <t>ed9964b6-c9d8-47b9-8c68-b81c0f0d22e9</t>
  </si>
  <si>
    <t>prooffice-baum-mobil</t>
  </si>
  <si>
    <t>ProOffice baum mobil+</t>
  </si>
  <si>
    <t>Fachobjekte und Vorgänge ohne Vor- und Nachbereitung offline erfassen._x000D_
_x000D_
Im Außendienst müssen Sie Ihre Objekte per Software auch dann erfassen können, wenn Sie vorübergehend keinen Netzempfang haben. Baum mobil+ ist die ideale Ergänzung zu ProOffice Baumkataster, um im Innen- oder Außendienst flexibel zu arbeiten. Die leistungsfähige Kartenintegration ermöglicht das Arbeiten vor Ort – ohne Papier und mühsame Vor- und Nachbereitung._x000D_
_x000D_
Dabei kann der Benutzer nach anfänglicher Synchronisation der Sach- und Kartendaten auf das Mobilgerät vollkommen eigenständig und netzunabhängig Baumobjekte erfassen, Kontrollen durchführen und Pflegemaßnahmen sowie Untersuchungen veranlassen. Bei Netzverfügbarkeit und ausgelöster Synchronisation (z.B. am Ende des Arbeitstages) wird der Ausarbeitungsstand als Ganzes in den zentralen Datenbestand eingepflegt, wobei zwischenzeitlich neu entstandene Datensätze auch zum Mobilgerät übertragen werden._x000D_
_x000D_
Funktionsumfang_x000D_
_x000D_
◾Netzunabhängig arbeiten durch Datensynchronisation auf ein mobiles Gerät_x000D_
_x000D_
◾Objektdaten, Schadensbilder und Pflegemaßnahmen durch vorgangsorientierte Benutzerführung zeiteffizient erfassen_x000D_
_x000D_
◾Baumzustand durch eine integrierte Kamerafunktion mit Fotos dokumentieren_x000D_
_x000D_
◾Hintergrundkarten am Gerät speichern und so offline nutzen_x000D_
_x000D_
◾Lageinformation der Fachobjekte GPS-unterstützt offline erfassen und nutzen_x000D_
_x000D_
◾Sämtliche Arbeitsschritte sind für das Referenzgerät Panasonic Toughpad optimiert</t>
  </si>
  <si>
    <t>2024-06-11 06:14:28.644216</t>
  </si>
  <si>
    <t>["254757be-69ef-4a6c-a4c1-1432815d7522", "2c54f4d6-5712-4e5a-a025-b7f7a396c39b"]</t>
  </si>
  <si>
    <t>e7fe3d05-bcfe-42e4-b524-de50420671b4</t>
  </si>
  <si>
    <t>asfinag-immobilien</t>
  </si>
  <si>
    <t>ASFINAG Immobilien</t>
  </si>
  <si>
    <t>Ob Kauf, Miete oder Pacht - das Immobilienportfolio der ASFINAG ist breit gefächert und enthält Angebote für Gewerbeimmobilien ebenso wie für Privatimmobilien.</t>
  </si>
  <si>
    <t>2024-06-11 06:14:40.989419</t>
  </si>
  <si>
    <t>89811612-ccc3-4ad3-aaf7-5558d1ebf17c</t>
  </si>
  <si>
    <t>rydies-2</t>
  </si>
  <si>
    <t>Rydies - urban micro-mobility solutions</t>
  </si>
  <si>
    <t>Rydies bietet eine Plattform rund um die urbane Kurzstrecken-Mobilität. Alle Angebote zum Parken, Leihen und Laden von Fahrrädern werden online verfügbar und buchbar gemacht.</t>
  </si>
  <si>
    <t>2024-06-11 06:14:36.945685</t>
  </si>
  <si>
    <t>["97ef14eb-f280-48a7-96c0-df03859b06c2"]</t>
  </si>
  <si>
    <t>3875b7d1-9085-48bd-a255-52da1d90bbb9</t>
  </si>
  <si>
    <t>gemeinderatswahl-graz-2012-bezirksrueckblick</t>
  </si>
  <si>
    <t>Gemeinderatswahl Graz 2012: Bezirksrückblick</t>
  </si>
  <si>
    <t>Die Anwendung visualisiert die Wahlergebnisse der Grazer Gemeinderatswahl 2012 auf Bezirksebene und kombiniert diese Daten mit strukturellen Daten zur Bevölkerung in diesen Bezirken.</t>
  </si>
  <si>
    <t>2024-06-11 06:14:29.598929</t>
  </si>
  <si>
    <t>["1929d4af-542d-4884-94cd-bff95e537ebd", "de000cc7-d480-4384-a056-a90362fab95d", "27161877-c998-486d-8431-bfe2b98b01b6", "1780b0e8-297d-40c7-8341-6bba62087c53", "a25fb527-bff2-4701-ade5-b47018bf31d2", "786d5be0-47ea-4c64-8299-2ee28b1ddfef"]</t>
  </si>
  <si>
    <t>c3c60e8f-ac01-41bf-8839-60adce88802f</t>
  </si>
  <si>
    <t>fireyak-wasserentnahmestellen</t>
  </si>
  <si>
    <t>FireYak-Wasserentnahmestellen</t>
  </si>
  <si>
    <t>Eine Info-App für Feuerwehren._x000D_
_x000D_
Zeigt Löschwasserentnahmestellen in der Umgebung an._x000D_
_x000D_
Löschwasserförderungen können berechnet werden._x000D_
_x000D_
Es werden dabei die Pumpenanzahl und die benötigte Anzahl an B-Schläuchen berechnet.</t>
  </si>
  <si>
    <t>2024-06-11 06:14:28.996695</t>
  </si>
  <si>
    <t>c0b86191-1296-4ad9-a95b-e0dd6a6cfd72</t>
  </si>
  <si>
    <t>geodemographics-2</t>
  </si>
  <si>
    <t>GeoDemographics</t>
  </si>
  <si>
    <t>GeoDemographics ermöglicht es,  Zielgruppen mit Hilfe von ausgewählten Open Data-Datensätzen auf einer Karte zu visualisieren, um faktenbasierte Entscheidungen treffen zu können. Es handelt sich aktuell noch um einen Prototyp, die Erweiterung um alternative Szenarien ist in Planung.</t>
  </si>
  <si>
    <t>2024-06-11 06:14:30.186264</t>
  </si>
  <si>
    <t>["17f04f16-1c02-4f94-90e3-e27e92535a83", "32b03b8c-e860-4416-a433-fab84cb935a6", "15516cf5-09c1-4e69-acf8-3d43183dd026", "0adc90c9-ac6b-47ef-aa83-b7780594720c", "a73c5b74-a9c9-4caa-a796-e4c832645614", "3e62e13e-3955-494a-91b3-f00ab9e84b48", "716d89ce-b0da-4158-abb6-72f562206b37", "2adc5a86-faa3-4b63-acff-a66128b811b7", "87f121a7-eef0-4be9-9372-a5efe5b4d375", "fc725989-5c3e-4bf4-89b1-68caeec4d858", "c1ba372b-dba2-4bce-b72e-b5c832eaaf44", "522d3045-0b37-48d0-b868-57c99726b1c4"]</t>
  </si>
  <si>
    <t>38ea1e24-8129-40a2-b4da-bb4bbeee44fd</t>
  </si>
  <si>
    <t>covergestaltung-wassertemperatur-in-oesterreich</t>
  </si>
  <si>
    <t>Wassertemperatur in Österreich</t>
  </si>
  <si>
    <t>Visualisierung der Temperaturen unserer Seen und Badegewässer! Zusätzlich zur Wassertemperatur erfährst du auch die Sichttiefe, Anzahl der Keime (Intestinale Enterokokken und Escherichia coli), sowie die Wasserqualität (von ausgezeichnet über gut oder mangelhaft bis baden verboten). Mit der Standortbestimmung findest du zudem ganz einfach alle umliegenden Bademöglichkeiten!_x000D_
Über 260 Messpunkte aus allen Bundesländern Österreichs.</t>
  </si>
  <si>
    <t>2024-06-11 06:14:36.236012</t>
  </si>
  <si>
    <t>9a16e3d0-28b8-4a92-adad-61e5afa5b930</t>
  </si>
  <si>
    <t>meine-oeffis-in-wien</t>
  </si>
  <si>
    <t>Meine Öffis in Wien</t>
  </si>
  <si>
    <t>Pebble App für die Abfrage der wichtigsten Stationen bzw. Linien mit welchen man täglich fährt._x000D_
_x000D_
Beschreibung der App:_x000D_
_x000D_
Wieder einmal den Bus/die Straßenbahn verpasst? Mit dieser App weißt du, ob du laufen musst, oder dir Zeit lassen kannst._x000D_
_x000D_
Konfiguriere einfach deine wichtigsten Stationen und du kannst jederzeit über deine Pebble abfragen wann dein Öffi fährt._x000D_
_x000D_
Du möchtest wissen, ob die Straßenbahn barrierefrei ist? Das erkennst du einfach am Kürzel BF.</t>
  </si>
  <si>
    <t>2024-06-11 06:14:29.03105</t>
  </si>
  <si>
    <t>["9c203fec-dc0d-412c-a7a3-7fd77d0346f1"]</t>
  </si>
  <si>
    <t>23f09f86-70db-4435-9455-64463364877c</t>
  </si>
  <si>
    <t>wo-ist-mein-punsch</t>
  </si>
  <si>
    <t>Wo ist mein Punsch?</t>
  </si>
  <si>
    <t>Die Anwendung lokalisiert den Benutzer und zeigt die Advent- und Sylvestermärkte in seiner Umgebung an und berechnet eine Route mit den Wiener Linien zu eben diesem Markt.</t>
  </si>
  <si>
    <t>2024-06-11 06:14:29.895968</t>
  </si>
  <si>
    <t>["16c7fa5b-e2ac-4558-b76c-506766d3949d", "c223b93a-2634-4f06-ac73-8709b9e16888", "9c203fec-dc0d-412c-a7a3-7fd77d0346f1"]</t>
  </si>
  <si>
    <t>21092a31-8880-4a99-9710-2c5d246106c1</t>
  </si>
  <si>
    <t>abfragehilfe-hoehenpauschale-nach-rgv</t>
  </si>
  <si>
    <t>Abfragehilfe Höhenpauschale nach RGV</t>
  </si>
  <si>
    <t>Dieses WebGis-Tool erleichtert den Mitarbeitern des Bundesdienstes die Ermittlung der Höhenpauschale für die Erstellung der Reiserechung.</t>
  </si>
  <si>
    <t>2024-06-11 06:14:40.601884</t>
  </si>
  <si>
    <t>["2c54f4d6-5712-4e5a-a025-b7f7a396c39b", "d88a1246-9684-480b-a480-ff63286b35b7"]</t>
  </si>
  <si>
    <t>01d40bae-d4d2-48d5-b753-cf73a6430bb8</t>
  </si>
  <si>
    <t>checkaustrianprojection</t>
  </si>
  <si>
    <t>CheckAustrianProjection</t>
  </si>
  <si>
    <t>Im Rahmen der GIS-Supporttätigkeit bei der Wildbach- und Lawinenverbauung Sektion Tirol (österreichisches Bundesministerium für Land- und Forstwirtschaft, Umwelt und Wasserwirtschaft), entstand ein neuer Lösungsansatz mit geographischen Ortsbezeichnungen (z.B. Bezirksnamen), der es ermöglicht die Projektion von Geodaten automatisch zu erkennen und zuzuweisen. Der Aufwand für GIS-Anwender ohne Kenntnisse über Koordinatensysteme, war bei Unklarheiten vor dieser Lösung enorm. Inzwischen bedarf es keines zusätzlichen Supportaufwands. Das Grundprinzip der Lösung ist, dass ein geographischer Name unabhängig von Koordinaten bzw. Projektion ist. Kombiniert man Geometrien eines Ortes in verschiedenen Projektionen mit dem geographischen Namen, ist fast immer eine eindeutige Zuordnung des unklaren Geodatensatzes möglich.</t>
  </si>
  <si>
    <t>2024-06-11 06:14:29.097963</t>
  </si>
  <si>
    <t>0390f8b6-6773-48db-abdc-4d4fe09ecd9d</t>
  </si>
  <si>
    <t>seestadt-city-bot</t>
  </si>
  <si>
    <t>Seestadt.city-Bot</t>
  </si>
  <si>
    <t>Der Seestadt.city-Bot verbindet Öffi-Abfahrtszeiten mit dem offenen Seestadt-Verzeichnis data.seestadt.city. So können BewohnerInnen schnell und auch mobil sehr einfach in Facebook Messenger oder Telegram eine Suchabfrage starten. Statt eine eigene App zu installieren, erfolgt die Abfrage in bereits installierten Apps oder auch am Desktop.</t>
  </si>
  <si>
    <t>2024-06-11 06:14:29.39966</t>
  </si>
  <si>
    <t>b39dfc48-94a7-43a1-a0da-5edb342b478d</t>
  </si>
  <si>
    <t>tourism-austria-in-tableau</t>
  </si>
  <si>
    <t>Tourism Austria in Tableau</t>
  </si>
  <si>
    <t>For a simple Tableau demo I put up an interactive dashboard on Tourism AT data</t>
  </si>
  <si>
    <t>2024-06-11 06:14:30.058762</t>
  </si>
  <si>
    <t>["128e3b47-1e44-3791-bee2-3b06b2cd58f4"]</t>
  </si>
  <si>
    <t>fa695296-f6d6-4636-9b52-331c13b421db</t>
  </si>
  <si>
    <t>flux</t>
  </si>
  <si>
    <t>Flux</t>
  </si>
  <si>
    <t>Flux ist ein ChatBot, der weiß, ob es auf einer Linie der Wiener Linien zu Störungen kommt. Er gibt zu abgefragten Linien im Falle einer Störung die entsprechende Meldung zu diesen Linien aus, und kann auch Auskunft darüber geben, wo es gerade zu Störungen kommt.</t>
  </si>
  <si>
    <t>2024-06-11 06:14:30.08934</t>
  </si>
  <si>
    <t>d131455d-92c8-45a0-87bc-194e07668f6a</t>
  </si>
  <si>
    <t>kibee-3</t>
  </si>
  <si>
    <t>Kibee</t>
  </si>
  <si>
    <t>Bei Kibee handelt es sich um eine Plattform für die Suche und Bewertung von Kindergärten in Wien. Die Plattform wurde dabei von zwei Personen in Eigeninitiative konzipiert und umgesetzt. Kibee bezieht die Daten der Kindergärten von data.gv.at und erweitert diese um Informationen._x000D_
_x000D_
Update 28.10.2021: Die Anwendung ist leider nicht mehr online verfügbar.</t>
  </si>
  <si>
    <t>2024-06-11 06:14:48.65842</t>
  </si>
  <si>
    <t>3a4e5c88-c77b-4297-ad55-0e515e8ef981</t>
  </si>
  <si>
    <t>wiensprichtfrau-2</t>
  </si>
  <si>
    <t>WienSprichtFrau</t>
  </si>
  <si>
    <t>Ich bin ein Telegram-Bot und gebe dir zu deinen Texten Hinweise, wenn sie nicht gegendert sind. Schicke mir einfach einen Text._x000D_
_x000D_
Mit /gender kannst du zu einem Begriff den OGD Gendervorschlag der Stadt Wien erhalten._x000D_
_x000D_
Wenn du mich in Telegram in einen Gruppen-Chat einlädst, melde ich mich wenn ich einen Vorschlag habe.</t>
  </si>
  <si>
    <t>2024-06-11 06:14:29.832177</t>
  </si>
  <si>
    <t>["15d6ede8-f128-4fcd-aa3a-4479e828f477"]</t>
  </si>
  <si>
    <t>a9b7b3ee-a21e-4e16-95bd-048b3d70f627</t>
  </si>
  <si>
    <t>web-applikation-zu-corine-land-cover-oesterreich</t>
  </si>
  <si>
    <t>Web-Applikation zu CORINE Land Cover Österreich</t>
  </si>
  <si>
    <t>Dies ist eine Web-Applikation über CORINE Land Cover Österreich 2012, welche von der Firma SynerGIS zur Verfügung gestellt wird. Sie dient als beispielhafte Applikation, die ein paar der Funktionen von ArcGIS Online darstellen soll._x000D_
_x000D_
Mit einem Klick auf die gewünschte Fläche erhalten Sie Informationen zu dem jeweiligen Element. Weiters sind zusätzliche Funktionalitäten, wie etwa ein Tool zum Vergleichen des operationalen Layers mit der Grundkarte oder eine Exportfunktion selektierter Features über die Widgets aufrufbar. Die individuelle Anpassung der Transparenz ist in den Einstellungen des Layers möglich.</t>
  </si>
  <si>
    <t>2024-06-11 06:14:29.167733</t>
  </si>
  <si>
    <t>6f812da1-eb65-4c04-b0d7-dd89ce86aae5</t>
  </si>
  <si>
    <t>4beiner</t>
  </si>
  <si>
    <t>Die APP für Hundebesitzer, finden Sie alles rund um den Hund. _x000D_
Mit 4beiner finden Sie rund um Ihren Standort die nächste Hundezone, Sackerlspender, Tierärzte, Apotheken, Hundeschulen und vieles mehr. Integriertes Logging für Spaziergänge, Notfallfunktion, informieren Sie sich über Veranstaltungen oder suchen Sie nach Freunden und verabreden sie sich zum Gassi-gehen mit Ihrem Vierbeiner. _x000D_
_x000D_
 </t>
  </si>
  <si>
    <t>2024-06-11 06:14:40.458281</t>
  </si>
  <si>
    <t>["28a7419c-f432-4e1a-b0a6-aa9e71968a14", "15914c77-fe9b-4853-9c74-aa64d2e79b56", "140fcf01-c278-4cea-89d4-15ad12f08af2"]</t>
  </si>
  <si>
    <t>e1434d41-7a02-4d60-a6db-0186f96df8b9</t>
  </si>
  <si>
    <t>open-data-hosted-by-synergis</t>
  </si>
  <si>
    <t>Open Data hosted by SynerGIS</t>
  </si>
  <si>
    <t>Im Portal „Open Data hosted by SynerGIS“ werden ausgewählte Open-Data-Datensätze aus Österreich als Feature Services gehostet und in mehreren Formaten zum Download bereitgestellt._x000D_
_x000D_
Vorteile des Angebots:_x000D_
* Diese Daten sind als Service verfügbar und können in Ihren Anwendungen genutzt werden, ohne dass Sie selbst Dienste bereitstellen oder Daten verwalten müssen._x000D_
* Zu jedem Datensatz gibt es weitere Downloadformate und API-Schnittstellen_x000D_
* Wir pflegen das Angebot für Sie_x000D_
* Weitere hilfreiche OGD-Datenbestände werden dort bei Kenntnis verlinkt_x000D_
_x000D_
_x000D_
Weitere Informationen finden Sie bei den Links zur Anwendung.</t>
  </si>
  <si>
    <t>2024-06-11 06:14:35.874147</t>
  </si>
  <si>
    <t>["51bdc6dc-25ae-41de-b8f3-938f9056af62", "6d731e6e-7dcf-4bde-8061-d0e195f62f6c", "d960f393-0a19-43f7-b2f1-2a79d9fc6fdd", "b5de6975-417b-4320-afdb-eb2a9e2a1dbf", "3fefc838-791d-4dde-975b-a4131a54e7c5", "f5afc0ab-3203-4384-9d00-03fced6fe7b4"]</t>
  </si>
  <si>
    <t>e4417f50-8272-402e-ad34-d4874bc7a122</t>
  </si>
  <si>
    <t>lawthek-legal-database</t>
  </si>
  <si>
    <t>LawThek Legal Database</t>
  </si>
  <si>
    <t>Die LawThek Legal Database ist ein Rechtsinformations- und Compliance Management System der neuesten Generation. Die Plattform sammelt automatisiert Daten aus verschiedenen Systemen (Big Data) und stellt den Anwendern Hilfsmittel zur Steigerung der Produktivität zur Verfügung. openlaws ermöglicht die Zusammenarbeit in geschlossenen oder öffentlichen Gruppen und hilft kleinen und mittleren Unternehmen (KMU) bei der Einhaltung von gesetzlichen Vorgaben und unterstützt Großunternehmen bei der Erfüllung von Compliance Anforderungen.</t>
  </si>
  <si>
    <t>2024-06-11 06:14:44.764092</t>
  </si>
  <si>
    <t>44016a43-0efe-45c5-8318-015ac40a1236</t>
  </si>
  <si>
    <t>memento-wien</t>
  </si>
  <si>
    <t>Memento Wien</t>
  </si>
  <si>
    <t>Memento Wien, ein für mobile Endgeräte (Tablets und Smartphones) optimiertes Online-Tool, bietet Informationen zu den Opfern der NS-Diktatur in weiten Teilen Wiens: Über den Stadtplan rückt diese mobile Website die letzten Wohnadressen der Ermordeten sowie eine Reihe von Archivdokumenten und Fotos zu Personen und Gebäuden in der Stadt in den Blickpunkt. Interessierte haben dadurch die Möglichkeit, die Geschichte ihrer Umgebung interaktiv zu erforschen und mehr über die Schicksale der Verfolgten zu erfahren. So wird insbesondere die Entrechtung, Vertreibung und Ermordung der österreichischen Jüdinnen und Juden virtuell sichtbar.</t>
  </si>
  <si>
    <t>2024-06-11 06:14:41.997969</t>
  </si>
  <si>
    <t>41aaa755-ae0a-41c7-85f4-6a6a8db85bcd</t>
  </si>
  <si>
    <t>webgis-antiesen</t>
  </si>
  <si>
    <t>WebGIS Antiesen</t>
  </si>
  <si>
    <t>Homepage zur Erweiterung des Hochwasserschutzes im Bezirk Ried im Innkreis. Darstellung von Überflutungsflächen, Straßensperren, Echtzeit Messdaten, Alarmstufen und Wetterwarnungen.</t>
  </si>
  <si>
    <t>2024-06-11 06:14:29.534533</t>
  </si>
  <si>
    <t>f28be22c-9226-406b-9a82-f8dd32626715</t>
  </si>
  <si>
    <t>mobilitaetsrechner-oberoesterreich</t>
  </si>
  <si>
    <t>Mobilitätsrechner Oberösterreich</t>
  </si>
  <si>
    <t>Anwendung für Wohnstandorte zur Ermittlung der fußläufigen Zugänglichkeit zu lokaler Infrastruktur (Routing über GIP-Daten) und zur Abschätzung von Wohn- und Pendelkosten.</t>
  </si>
  <si>
    <t>2024-06-11 06:14:36.60422</t>
  </si>
  <si>
    <t>["3fefc838-791d-4dde-975b-a4131a54e7c5", "2c54f4d6-5712-4e5a-a025-b7f7a396c39b"]</t>
  </si>
  <si>
    <t>ea86ddda-75f2-4bcd-a0c5-00d289213459</t>
  </si>
  <si>
    <t>gpsinfo4zemokost-qgis-plugin-for-zemokost</t>
  </si>
  <si>
    <t>gpsinfo4zemokost - QGIS plugin for ZEMOKOST</t>
  </si>
  <si>
    <t>gpsinfo4zemokost ist in seiner Grundversion eine kostenlose, freie Erweiterung des GIS-Programms [qgis](https://www.qgis.org/), die benutzungsfreundlich einen Teil der Eingabedaten für das Hydrologie-Programm ZEMOKOST des Bundesforschungs- und Ausbildungszentrum für Wald, Naturgefahren und Landschaft (BFW) zusammenträgt. Die Berechnung der Daten erfolgt lokal am Computer, lediglich die notwendigsten Datensätze werden automatisch über das Internet bezogen.</t>
  </si>
  <si>
    <t>2024-06-11 06:14:39.365035</t>
  </si>
  <si>
    <t>["d88a1246-9684-480b-a480-ff63286b35b7", "35691b6c-9ed7-4517-b4b3-688b0569729a"]</t>
  </si>
  <si>
    <t>70be8730-db6a-4ab6-bd28-2501d7799498</t>
  </si>
  <si>
    <t>kurzparkzonen-wien-3</t>
  </si>
  <si>
    <t>Kurzparkzonen Wien erkennt anhand der aktuellen Position automatisch, ob Sie sich in einer Kurzparkzone befinden und ob diese im Moment aktiv ist._x000D_
_x000D_
Kostenpflichtige Kurzparkzonen und Kurzparkstreifen sowie AnwohnerInnen-Parkplätze werden rot, aktuell inaktive grün dargestellt._x000D_
_x000D_
Kurzparkscheine können direkt in der App gelöst werden.</t>
  </si>
  <si>
    <t>2024-06-11 06:14:30.353046</t>
  </si>
  <si>
    <t>4bbb1ed7-df30-4034-9a15-eb8305dac179</t>
  </si>
  <si>
    <t>3d-sonnenstand-app</t>
  </si>
  <si>
    <t>3D-Sonnenstand App</t>
  </si>
  <si>
    <t>Zeigt Schattenwurf der Gebäude in der Stadt zu jeder vorgegebenen Zeit in 3D an.</t>
  </si>
  <si>
    <t>2024-06-11 06:14:40.426431</t>
  </si>
  <si>
    <t>["86d88cae-ad97-4476-bae5-73488a12776d", "d88a1246-9684-480b-a480-ff63286b35b7", "80dd5f90-8ed9-49b8-9b6e-d3c40eb46023"]</t>
  </si>
  <si>
    <t>c2b5576b-0729-40f8-91b9-e449c3f84a7f</t>
  </si>
  <si>
    <t>historische-karten-stadtentwicklung-wien</t>
  </si>
  <si>
    <t>Historische Karten &amp; Stadtentwicklung Wien</t>
  </si>
  <si>
    <t>Schulprojekt zur Darstellung der Veränderung der Stadt Wien für die 4. Klasse einer Wiener Volksschule._x000D_
_x000D_
Realisiert = konfiguriert mit dem WebAppBuilder von ArcGIS</t>
  </si>
  <si>
    <t>2024-06-11 06:14:36.06879</t>
  </si>
  <si>
    <t>00e51fae-9ee4-40ee-b2b0-53acd5d2667c</t>
  </si>
  <si>
    <t>pegelalarm-4</t>
  </si>
  <si>
    <t>PegelAlarm</t>
  </si>
  <si>
    <t>PegelAlarm enthält Pegeldaten von mehr als 4.500 Gewässer-Messstationen in Deutschland, Österreich, Schweiz, Slowenien, Südtirol und entlang der gesamten Donau. Sie macht dich auf potenziell gefährliche Wasserstände aufmerksam, damit du frühzeitig darauf reagieren kannst. Die App alarmiert dich beim Über- oder Unterschreiten von dir individuell festgelegten Pegelgrenzen.</t>
  </si>
  <si>
    <t>2024-06-11 06:14:37.956612</t>
  </si>
  <si>
    <t>["6772e22a-a364-47df-9cf7-0590fdde1757"]</t>
  </si>
  <si>
    <t>84904d5e-0171-4084-b5cd-33dc6899c596</t>
  </si>
  <si>
    <t>wiener-baeume-2</t>
  </si>
  <si>
    <t>Wiener Bäume</t>
  </si>
  <si>
    <t>**Update Oktober 2021: die Anwendung ist nicht mehr im iTunes Store verfügbar.**_x000D_
_x000D_
Entdecke mehr als 190.000 Bäume und mehr als 400 verschiedene Baumarten in ganz Wien.Im Handumdrehen bekommst du Informationen wie Gattung, Pflanzjahr und vieles mehr zu Bäumen in deiner Nähe._x000D_
Erfahre mehr zu den verschiedenen Arten mit direkten Links zu den entsprechenden Wikipedia-Artikeln, indem du auf das Symbolbild tippst._x000D_
_x000D_
Features:_x000D_
- Kartendarstellung der Bäume im Umkreis von 50m um deinen Standort._x000D_
- Mehr als 190.000 Baumstandorte in Wien._x000D_
- Mehr als 400 Arten._x000D_
- Detaillierte Informationen: Gattung (Latein/Deutsch), Pflanzjahr, Stammumfang, Kronenumfang._x000D_
- Links zu Wikipedia-Artikeln zu vielen Arten.</t>
  </si>
  <si>
    <t>2024-06-11 06:14:48.591974</t>
  </si>
  <si>
    <t>590e0f0b-e1f8-4ebf-b49e-87287a0feea3</t>
  </si>
  <si>
    <t>kurzparken-in-wien</t>
  </si>
  <si>
    <t>Kurzparken in Wien</t>
  </si>
  <si>
    <t>Anzeige der Kurzparkzonen und -streifen plus Zusatzinformationen auf einer (auch mobilen) Webseite. Möglichkeit zur Ortung und Anzeige des eigenen Standortes.</t>
  </si>
  <si>
    <t>2024-06-11 06:14:37.991751</t>
  </si>
  <si>
    <t>25687365-66e9-4bee-9e28-c677918d5a9a</t>
  </si>
  <si>
    <t>datenspaziergang-rund-um-die-urania</t>
  </si>
  <si>
    <t>Datenspaziergang rund um die Urania</t>
  </si>
  <si>
    <t>Wie sieht Partizipation im Zeitalter von Open Data aus? In einer geführten Wanderung rund um die Wiener Urania lernten am 10.März 2016 Data BesucherInnen eines VHS Kurses wo überall Daten “drinnen stecken”. Verkehrsflußdaten die Fahrspurdesign und Ampelregelungen beinflussen, demografische Daten die den Standorten von Schulen und Supermärkten zugrunde liegen oder unsichtbare Verwaltungsgrenzen die durch die Stadt laufen und dadurch unterschiedliche Auswirkung auf scheinbar einheitliche Nachbarschaften haben.</t>
  </si>
  <si>
    <t>2024-06-11 06:14:29.767509</t>
  </si>
  <si>
    <t>["a0279fdf-230e-493d-bd50-3865ad29f825", "87282445-a02d-4f7f-9bf6-196d73d9b3a9"]</t>
  </si>
  <si>
    <t>2257dfb0-d8a6-46b2-a752-41cb3dc882d7</t>
  </si>
  <si>
    <t>explore-your-urban-environment</t>
  </si>
  <si>
    <t>Explore Your Urban Environment</t>
  </si>
  <si>
    <t>Eine Schnitzeljagd durch Wien auf Basis von offenen Daten, die als Ferienspiel oder im Sport bzw. Biologieunterricht eingesetzt werden kann. Der zu jeder generierten Schnitzeljagd generierte Pin ermöglicht das Spielen in der Gruppe._x000D_
_x000D_
Die mobile Website wurde im Rahmen des DanubeHack 2016 in Bratislava umgesetzt.</t>
  </si>
  <si>
    <t>2024-06-11 06:14:29.567176</t>
  </si>
  <si>
    <t>["c91a4635-8b7d-43fe-9b27-d95dec8392a7", "2c54f4d6-5712-4e5a-a025-b7f7a396c39b", "45a55c97-2122-42a6-823d-f374f1a8bd48"]</t>
  </si>
  <si>
    <t>9b773665-f50f-4272-9a40-a4966cec8f13</t>
  </si>
  <si>
    <t>gendering-wortliste-fuer-texstudio</t>
  </si>
  <si>
    <t>Gendering Wortliste für TeXstudio</t>
  </si>
  <si>
    <t>Die Wörterliste bietet eine Möglichkeit, nicht genderneutrale Begriffe in TeXstudio als "Bad Words" zu markieren. Sie werden von dem Programm anschließend automatisch während dem Schreiben des Textes abgeglichen und als solche markiert (meistens mit Hilfe einer durchgezogenen Linie).</t>
  </si>
  <si>
    <t>2024-06-11 06:14:29.630959</t>
  </si>
  <si>
    <t>92a42a74-048e-476c-bbca-d640ad6a455d</t>
  </si>
  <si>
    <t>birds-eye-view-upon-the-austrian-open-data-landscape-with-wordcloud</t>
  </si>
  <si>
    <t>Bird’s-Eye View upon the Austrian Open Data Landscape with wordcloud</t>
  </si>
  <si>
    <t xml:space="preserve">_x000D_
_x000D_
[al.at](https://www.opendataportal.at)) we generated two word clouds separately for each of the portals. We retrieved the metadata through the WU’s [Open Data Portal Watch API](http://data.wu.ac.at/portalwatch/) and processed all the dataset titles using [wordcloud](https://github.com/amueller/word_cloud)._x000D_
_x000D_
Check out our [open source code on GitHub](https://github.com/vendi12/communidata) and stay tuned for further updates!**About the project**: The CommuniData project aims to bring Open Data closer to local communities, i.e. enhance usability of Open Data and its accessibility for non-expert users. CommuniData is a cooperation between the [WU Vienna](https://wu.ac.at/ipm), the companies [cbased](https://cbased.com) and [webLyzard](https://weblyzard.com), and the Urban Renewal Office of the Vienna’s Second District. It is supported by the Austrian Research Promotion Agency FFG._x000D_
_x000D_
_x000D_
_x000D_
</t>
  </si>
  <si>
    <t>2024-06-11 06:14:29.701449</t>
  </si>
  <si>
    <t>94f6cd61-3ab6-45e1-a47a-8b0e2dc4694c</t>
  </si>
  <si>
    <t>govcrawler</t>
  </si>
  <si>
    <t>GovCrawler</t>
  </si>
  <si>
    <t>Mit dieser Anwendung ist es möglich die Arbeit von Parlament und Regierung auf einen Blick zu verfolgen.</t>
  </si>
  <si>
    <t>2024-06-11 06:14:36.104339</t>
  </si>
  <si>
    <t>efd46de5-63a3-4a46-abff-c9b5fc00f5e3</t>
  </si>
  <si>
    <t>tyrolean-map</t>
  </si>
  <si>
    <t>Tyrolean Map</t>
  </si>
  <si>
    <t>Die Anwendung stellt einige Geo-Datensätze vom Land Tirol und Südtirol auf einer interaktiven Karte dar. Durch die Verwendung von Web App Manifest kann die Anwendung auf Mobilgeräten wie eine App genutzt werden.</t>
  </si>
  <si>
    <t>2024-06-11 06:14:37.277875</t>
  </si>
  <si>
    <t>["35691b6c-9ed7-4517-b4b3-688b0569729a", "0454f5f3-1d8c-464e-847d-541901eb021a", "a0535d6d-4c34-4524-9591-e9e51e3d28c4", "2c54f4d6-5712-4e5a-a025-b7f7a396c39b"]</t>
  </si>
  <si>
    <t>0e2f2a48-0736-4a47-a668-6d71076dd0eb</t>
  </si>
  <si>
    <t>opendataatassistant-facebook-bot</t>
  </si>
  <si>
    <t>@OpenDataATAssistant - facebook bot</t>
  </si>
  <si>
    <t>The assistant will help you to explore the content of the austrian open data portals: data.gv.at and opendataportal.at_x000D_
It's a NodeJS chatbot as a search interface to the data portals._x000D_
_x000D_
Kickstarted at the Data Pioneers Create Camp @ZAMG Vienna 2 February 2017.</t>
  </si>
  <si>
    <t>2024-06-11 06:14:50.402509</t>
  </si>
  <si>
    <t>2b73ded2-1db1-4bbe-b555-ad451eba1870</t>
  </si>
  <si>
    <t>sags-wien</t>
  </si>
  <si>
    <t>Sag's Wien</t>
  </si>
  <si>
    <t>Sag's Wien - Die App für Ihre Anliegen an die Stadt_x000D_
_x000D_
Jederzeit von unterwegs ein Anliegen, eine Gefahrenstelle oder eine Störung via Smartphone an die Wiener Stadtverwaltung melden: Das ermöglicht die neue App "Sag's Wien"._x000D_
Mit Sag's Wien wird Wien mobiler, persönlicher, vernetzter - und gemeinsam im Dialog zwischen Bürgerinnen und Bürgern mit der Verwaltung besser gemacht._x000D_
Die Funktionen:_x000D_
Mit wenigen Klicks können Meldungen schnell und intuitiv und ohne zwingende Registrierung - an die Wiener Stadtverwaltung gesendet werden._x000D_
Der „Sag’s Wien – smart check“ prüft, noch BEVOR eine Meldung erstellt wird, ob die Stadtverwaltung bereits über das Anliegen informiert ist._x000D_
Meldungen werden in Listen-, Stadtplanansicht oder Detaildarstellung angezeigt. Userinnen und User können andere Meldungen unterstützen oder auf "Folgen" klicken. Mit einem persönlichen Profil können die Meldungen personalisiert werden und Sag's Wien auf unterschiedlichen Endgeräten verwendet werden. _x000D_
Die Stadtverwaltung bearbeitet die Meldung so rasch wie möglich und informiert laufend mittels Push-Benachrichtigung über den aktuellen Status. _x000D_
_x000D_
 </t>
  </si>
  <si>
    <t>2024-06-11 06:14:29.798909</t>
  </si>
  <si>
    <t>["c223b93a-2634-4f06-ac73-8709b9e16888", "2c54f4d6-5712-4e5a-a025-b7f7a396c39b"]</t>
  </si>
  <si>
    <t>0a147516-6d13-442f-8d70-dd73dfc09c83</t>
  </si>
  <si>
    <t>wl-monitor-pi-alexa</t>
  </si>
  <si>
    <t>WL-Monitor-Pi-Alexa</t>
  </si>
  <si>
    <t>Alexa Skill für Wiener Linien Abfahrtsmonitor. Es können mehrere Steige (Linie, Station, Richtung) in Form von RBL-Nummern angegeben werden, welche dann in Echtzeit von Alexa ausgegeben werden.</t>
  </si>
  <si>
    <t>2024-06-11 06:14:36.301611</t>
  </si>
  <si>
    <t>2740ea0f-eeed-4556-b72f-b63a6f7aed6b</t>
  </si>
  <si>
    <t>mathematik-anwenden-hakhum</t>
  </si>
  <si>
    <t>Mathematik anwenden HAK/HUM - mündliche Reife- und Diplomprüfung, Maturatraining</t>
  </si>
  <si>
    <t>Das Schulbuch "Mathematik anwenden HAK/HUM - mündliche Reife- und Diplomprüfung, Maturatraining" soll Schülerinnen und Schüler auf die mündliche Reifeprüfung in Mathematik vorbereiten._x000D_
_x000D_
Es werden den Schülerinnen und Schülern Daten zur Verfügung gestellt, mit denen sie statistische Aufgaben lösen sollen.</t>
  </si>
  <si>
    <t>2024-06-11 06:14:36.981572</t>
  </si>
  <si>
    <t>["82d985c7-245f-4fd7-810f-b961edbc51cd", "b6385a14-b39c-4a00-a262-a8c2308759a6"]</t>
  </si>
  <si>
    <t>f6fb1896-f1cc-4ec8-9131-b127d7022b44</t>
  </si>
  <si>
    <t>wiener-oeffi-app-mit-abfahrtsmonitor</t>
  </si>
  <si>
    <t>Wiener Öffi App mit Abfahrtsmonitor</t>
  </si>
  <si>
    <t>2024-06-11 06:14:37.050013</t>
  </si>
  <si>
    <t>["522d3045-0b37-48d0-b868-57c99726b1c4", "21fca925-12ac-4215-ba1a-a9c73cb3b082"]</t>
  </si>
  <si>
    <t>b6791c32-da5f-45d9-b13b-8c2506b814ee</t>
  </si>
  <si>
    <t>parken-anachb-at-parkplatzboerse-wien-einen-parkplatz-in-wien-mieten</t>
  </si>
  <si>
    <t>parken.AnachB.at - Parkplatzbörse Wien - Einen Parkplatz in Wien mieten</t>
  </si>
  <si>
    <t>Auf parken.anachb.at können sie einen Park- oder Garagenplatz in Wien suchen oder vermieten.</t>
  </si>
  <si>
    <t>2024-06-11 06:14:37.083391</t>
  </si>
  <si>
    <t>["2c54f4d6-5712-4e5a-a025-b7f7a396c39b", "c223b93a-2634-4f06-ac73-8709b9e16888"]</t>
  </si>
  <si>
    <t>bf421446-9b60-4cd2-855a-532c666041d8</t>
  </si>
  <si>
    <t>data-seestadt-city</t>
  </si>
  <si>
    <t>data.Seestadt.city</t>
  </si>
  <si>
    <t>Kartenbasierte Darstellung des lokalen Branchenverzeichnisses auf Basemap-Basis. Informationen zu Ärzten, Unternehmen, KMUs, EPUs und Vereinen in der Seestadt Aspern, Wien. Dazu noch erweiterte Datensätze zum Thema Mobilität und Freizeit.</t>
  </si>
  <si>
    <t>2024-06-11 06:14:30.415063</t>
  </si>
  <si>
    <t>["2c54f4d6-5712-4e5a-a025-b7f7a396c39b", "1d5c2411-9719-4c8f-b99d-57a5f4a4ae41"]</t>
  </si>
  <si>
    <t>9545a69e-b450-4c44-b4cf-9022cb6cf7b9</t>
  </si>
  <si>
    <t>bodenpreise-at</t>
  </si>
  <si>
    <t>bodenpreise.at</t>
  </si>
  <si>
    <t>bodenpreise.at – die kostenlose Kaufpreisübersicht auf Gemeindeebene (ein Produkt der IMMOunited GmbH). Der für jede Gemeinde ausgewiesene Wert stellt den mittleren Kaufpreis (Median) der im Grundbuch durchgeführten Transaktionen in dieser Gemeinde dar. Er gibt damit einen Richtwert, welcher Quadratmeterpreis für ein Grundstück im Mittel erzielt werden kann._x000D_
Dazu werden von IMMOunited sämtliche im Grundbuch verbücherten Kaufverträge erhoben, datenbankmäßig erfasst und ausgewertet (jährlich rund 100.000 Kaufverträge). Handelt es sich beim Kaufgegenstand um ein - weitgehend unbebautes - Grundstück (auch Wald, Weingärten oder Alpe), wurde zwischen Bauland und Grünland unterschieden. Es werden alle Kaufverträge von 1.1.2009 bis Ende 2016 zur Auswertung herangezogen. Die Preise der Vorjahre wurden aufgrund der österreichweiten Preissteigerung der Grundstücke valorisiert._x000D_
Der Wert kann aufgrund der Umstände im Einzelfall von den tatsächlich erzielbaren Verkehrswerten abweichen. Der Richtwert ist als Solcher zu verstehen und kann in keinem Fall eine Bewertung, etwa nach dem Liegenschaftsbewertungsgesetz, durch einen Sachverständigen ersetzen. IMMOunited übernimmt keine Haftung für die Richtigkeit und Verwertbarkeit der Daten._x000D_
Sonderfälle:_x000D_
Für die inneren Wiener Bezirke 1 bis 9 sind aufgrund der nicht vorhandenen Grundstückstransaktionen keine Daten angeführt, in den restlichen Bezirken 10 bis 23 wurde zudem aufgrund der heterogenen Preislage auf Grünlandpreise verzichtet._x000D_
Der Grünlandpreis kann in manchen Gemeinden deutlich über dem Preis liegen, der für land- und forstwirtschaftliche Flächen üblicher Weise gezahlt wird, wenn vermehrt Grundstücke im Grünland gehandelt wurden, die eine Bauführung ermöglichen (etwa Badeteichsiedlungen, Kleingärten o.ä) oder als Baulanderwartungsgebiet zu sehen sind._x000D_
Steuerliche Bedeutung:_x000D_
Aufgrund der Grundanteilsverordnung ist in Städten mit über 100.000 Einwohnern sowie in Gemeinden, in denen der Wohnbaulandpreis über 400 Euro pro Quadratmeter beträgt, ein erhöhter Grundanteil von 30 bzw. 40 Prozent (gegenüber den sonst anzuwendenden 20 Prozent) bei der Ermittlung der Abschreibungen anzusetzen. Diese, somit hinsichtlich der Bodenpreise besonders teuren Gemeinden, sind in einem eigenen Layer dargestellt. Diese Abbildung kann ausgedruckt als Beleg für den geringeren Grundanteil im Rahmen der Veranlagung für das Finanzamt herangezogen werden._x000D_
_x000D_
Selbstbeschreibung des Unternehmens:_x000D_
_x000D_
Die IMMOunited GmbH ist Marktführer in der Online-Bereitstellung von Informationen zu Immobilien-Transaktionen und Grundbuchdaten in ganz Österreich. Zudem ermöglicht IMMOunited den Online-Zugang zu den Bundesdatenbanken Grundbuch, Firmenbuch, Melde- und Gewerberegister. Seit 2007 verschafft das Unternehmen mit Sitz im Zentrum von Wien seinen Kunden durch innovative, intelligente und individuelle Produktlösungen Wettbewerbsvorteile im Immobilienbereich und fördert damit vor allem die Transparenz am österreichischen Immobilienmarkt. _x000D_
_x000D_
 </t>
  </si>
  <si>
    <t>2024-06-11 06:14:39.300724</t>
  </si>
  <si>
    <t>603a2682-3c8f-4799-bc43-7f17572c3964</t>
  </si>
  <si>
    <t>transitland-2</t>
  </si>
  <si>
    <t>Transitland</t>
  </si>
  <si>
    <t>Transitland is a community-edited data service aggregating transit networks across metropolitan and rural areas around the world. Transitland's Feed Registry now lists the Vienna GTFS feed. Developers may now use the Transitland platform to build additional applications, maps, visualizations, and analyses on top of Vienna and nearby transit data in Transitland.</t>
  </si>
  <si>
    <t>2024-06-11 06:14:30.250215</t>
  </si>
  <si>
    <t>5dff82f8-41f7-495e-9119-73a7d7b4d03d</t>
  </si>
  <si>
    <t>here-wego</t>
  </si>
  <si>
    <t>HERE WeGo</t>
  </si>
  <si>
    <t>WeGo HERE, Navigationskarten</t>
  </si>
  <si>
    <t>2024-06-11 06:14:36.335432</t>
  </si>
  <si>
    <t>b73863d2-9c52-4dfd-b938-96bf0f9e3be2</t>
  </si>
  <si>
    <t>parteispenden-at</t>
  </si>
  <si>
    <t>Parteispenden.at</t>
  </si>
  <si>
    <t>[Parteispenden.at](https://www.parteispenden.at) bereitet Daten und Informationen rund um die Finanzierung der Parteien auf. Die Plattform aggregiert dabei auch Daten zu ausbezahlten Förderungen, bietet Visualisierungen und Hintergrundinformationen, und macht die Daten nutzerfreundlich zugänglich.</t>
  </si>
  <si>
    <t>2024-06-11 06:14:36.913749</t>
  </si>
  <si>
    <t>e9162750-dcda-4224-9804-b9d2dda17e8a</t>
  </si>
  <si>
    <t>vergleich-der-benutzung-oeffentlicher-verkehrsmittel-vs-pkw-in-wien</t>
  </si>
  <si>
    <t>Vergleich der Benutzung öffentlicher Verkehrsmittel vs. PKW in Wien</t>
  </si>
  <si>
    <t>Hier kann man die Kosten der Benutzung von öffentlichen Verkehrsmitteln mit der Benutzung von PKWs vergleichen. Man kann viele Einstellungen wie z.B. Treibstoffverbrauch vornehmen. Die Visualisierung ist interaktiv, also man kann bestimmte Bereiche auswählen und darüber mehr Informationen heraus lesen. _x000D_
_x000D_
 </t>
  </si>
  <si>
    <t>2024-06-11 06:14:29.992836</t>
  </si>
  <si>
    <t>["20019419-56a5-42c2-b76c-0460e58e775f"]</t>
  </si>
  <si>
    <t>faddf2fa-319d-41db-9eda-b1dd19328962</t>
  </si>
  <si>
    <t>citybike-alexa-skill</t>
  </si>
  <si>
    <t>CityBike Alexa Skill</t>
  </si>
  <si>
    <t>City Bikes Skill erzählt Ihnen, wie viele Fahrräder in der bestimmten CityBike Station zur Verfügung stehen.</t>
  </si>
  <si>
    <t>2024-06-11 06:14:30.121317</t>
  </si>
  <si>
    <t>7f516ed3-d593-47fa-a88f-2a9f5c24d7fc</t>
  </si>
  <si>
    <t>geospatial-open-data-visualization</t>
  </si>
  <si>
    <t>Geospatial Open Data Visualization</t>
  </si>
  <si>
    <t>The application visualizes geospatial open data in such a way that any user can derive meaningful information of the original data and is the result of a Bachelor thesis.</t>
  </si>
  <si>
    <t>2024-06-11 06:14:39.260476</t>
  </si>
  <si>
    <t>["c1ba372b-dba2-4bce-b72e-b5c832eaaf44", "354f9aa0-2f0a-4cdf-9b60-d023da93cc76", "9b40a0af-a6fe-47ff-9624-2ea8f40c746f", "f1f6f15d-2faa-4b62-b78b-80599dd1c66e", "36a8b9e9-909e-4605-a7ba-686ee3e1b8bf", "2ee6b8bf-6292-413c-bb8b-bd22dbb2ad4b"]</t>
  </si>
  <si>
    <t>fe3afed8-ae00-45c5-8600-53c5c6b51874</t>
  </si>
  <si>
    <t>hotspot-sonar-fur-smartphones</t>
  </si>
  <si>
    <t>Hotspot Sonar für Smartphones</t>
  </si>
  <si>
    <t>Sindre Wimberger hat eine App für die Hotspots erstellt, die auf allen Smartphones mit GPS angewendet werden kann. Basierend auf dem aktuellen Standort berechnet es die Entfernung bis zum nächsten Hotspot Standort und zeigt diesen auf einer Karte an.</t>
  </si>
  <si>
    <t>2024-06-11 06:14:30.797716</t>
  </si>
  <si>
    <t>5ab3df46-2b2e-4e94-8590-4a54ee250a6e</t>
  </si>
  <si>
    <t>elternvereine-an-tiroler-schulen</t>
  </si>
  <si>
    <t>Elternvereine an Tiroler Schulen</t>
  </si>
  <si>
    <t>Die Karte zeigt die räumliche Verteilung der Elternvereine an allen öffentlichen Schulen in Tirol._x000D_
_x000D_
Der Landeselternverband Tirol unterstützt die Arbeit von Elternvereinen an öffentlichen Schulen und berät Eltern bei der Gründung eines solchen Vereins. Elternvereine leisten einen wichtigen Beitrag im Rahmen der Schulpartnerschaft.</t>
  </si>
  <si>
    <t>2024-06-11 06:14:39.191151</t>
  </si>
  <si>
    <t>["945A3F8F-90E5-4761-9C6E-92F7391CC93A", "2c54f4d6-5712-4e5a-a025-b7f7a396c39b", "51bdc6dc-25ae-41de-b8f3-938f9056af62"]</t>
  </si>
  <si>
    <t>56498c85-d348-4aea-afbe-e7d66348e09d</t>
  </si>
  <si>
    <t>vtpk2mbtiles</t>
  </si>
  <si>
    <t>Kommandozeilenwerkzeug zur Umwandlung des proprietären ESRI VTPK Formates in das freie Mapbox mbtiles Format._x000D_
Das mbtiles Format ermöglicht vielfältige Verwendung: offline, eigene Tileserver, in Applikationen auf mobilen Endgeräten oder auf am Desktop mit QGIS.</t>
  </si>
  <si>
    <t>2024-06-11 06:14:42.262898</t>
  </si>
  <si>
    <t>["b694010f-992a-4d8e-b4ab-b20d0f037ff0"]</t>
  </si>
  <si>
    <t>41ba5234-ef75-4592-8bc4-5e2857a64fdf</t>
  </si>
  <si>
    <t>spielplatz-scout</t>
  </si>
  <si>
    <t>Spielplatz-Scout</t>
  </si>
  <si>
    <t>[www.spielplatz-scout.at](http://www.spielplatz-scout.at/) ist eine Spielplatz Suchmaschine für Eltern und Kinder._x000D_
_x000D_
Ziel ist es, so alle Spielplätze von Österreich aufzulisten. Es ist kostenlos und soll Eltern und Gemeinden helfen Spielplätze in Österreich attraktiv und in Schuss zu halten.</t>
  </si>
  <si>
    <t>2024-06-11 06:14:42.566709</t>
  </si>
  <si>
    <t>2df24c29-aa22-452e-93ae-c36069505bca</t>
  </si>
  <si>
    <t>urban-change-in-time</t>
  </si>
  <si>
    <t>Urban Change in Time</t>
  </si>
  <si>
    <t>Urban Change in Time (UCIT) zeigt in vollem Umfang die Entwicklung der Stadt Wien vom 16ten Jahrhundert bis heute. Es lässt den Betrachter durch historische Karten Wiens aus verschiedenen Jahren in unterschiedlichen Maßstäben navigieren. Zusätzlich kann man die bebaute Struktur entdecken, das Baujahr eines Gebäudes bzw. die Bauperiode.</t>
  </si>
  <si>
    <t>2024-06-11 06:14:30.551943</t>
  </si>
  <si>
    <t>["7cf0da04-1f77-4321-929e-78172c74aa0b", "38aac30b-6b79-4fee-88f0-a37b2e6c0f92"]</t>
  </si>
  <si>
    <t>b45a6730-59c5-415b-ae9b-2d712bdc323f</t>
  </si>
  <si>
    <t>spinning-circle-preise-berechnen</t>
  </si>
  <si>
    <t>Spinning Circle – Preise berechnen</t>
  </si>
  <si>
    <t>Spinning Circle, ein reiner Fahrradbotendienst, d.h. alle Botenfahrten werden nur mit dem Fahrrad durchgeführt, berechnet seine Preise abhängig von der Entfernung Luftlinie zwischen Abhol-Adresse und Zustellungs-Adresse._x000D_
_x000D_
Früher wurde die Berechnung der Luftlinie mit dem Lineal auf der Karte durchgeführt, später dann mit Adress-Geodaten von here.com. Jetzt ist den Kunden und möglichen Interessenten selbst möglich den Preis auszurechnen._x000D_
_x000D_
Zusätzlich werden von OGD Wien auch valide Adressen geliefert, im Gegensatz zu den amerikanischen Geodaten-Diensten, die hilfreich sind bei der Abholung/Zustellung._x000D_
_x000D_
Für interessierte App-Entwickler gibt es die Hinweis-Seite [Adressservice Wien: Wie man die richtige Adresse findet und Fehler vermeidet](http://m.spinning-circle.at/adressservice-wien-tipps.html), hier finden sie Anregungen, wie sie die richtige Adresse finden._x000D_
_x000D_
Unendlich vielen Dank an die Gemeinde Wien für die Freigabe der Adress-Geodaten als Open Government Data.</t>
  </si>
  <si>
    <t>2024-06-11 06:14:30.62114</t>
  </si>
  <si>
    <t>["4111e2d8-1729-4953-899a-c55bc382857e", "c223b93a-2634-4f06-ac73-8709b9e16888"]</t>
  </si>
  <si>
    <t>84f62476-a2e0-4c66-99ca-8ac0611016b8</t>
  </si>
  <si>
    <t>pocket-austria-reale-stadte-in-virtueller-applikation</t>
  </si>
  <si>
    <t>pocket Austria: reale Städte in virtueller Applikation</t>
  </si>
  <si>
    <t>pocketAustria.at hat das Ziel reale Städte und virtuelle Applikationen auf einfache Art und Weise zu verbinden._x000D_
Die Web-Applikation ermöglicht ein einfaches Navigieren und Auffinden von öffentlichen Plätzen und Einrichtungen, wie zum Beispiel Kindergärten, Schwimmbäder, öffentliche WCs, Museen, Citybike-Stationen uvm. Die Plattform funktioniert direkt auf aktuellen Handys ohne Installation. Bei der Suche kann zur besseren Orientierung der aktuelle Standort miteinbezogen werden._x000D_
### Verfügbarkeit_x000D_
_x000D_
_x000D_
Die App ist optimiert für mobile Browser auf Handys und PDAs. Es ist keine Installation notwendig!</t>
  </si>
  <si>
    <t>2024-06-11 06:14:30.925939</t>
  </si>
  <si>
    <t>e67ed21a-34d2-42bb-99e4-eb7f462d4008</t>
  </si>
  <si>
    <t>download-bemessungsniederschlag-zemokost-2-0</t>
  </si>
  <si>
    <t>Download Bemessungsniederschlag ZEMOKOST 2.0</t>
  </si>
  <si>
    <t>Dieses Webtool vereinfacht die Integration des relevanten Bemessungsniederschlags in das hydrologische Models ZEMOKOST 2.0._x000D_
_x000D_
Eine fehleranfällige, zeitaufwendige Rohdatenaufbereitung in Textverarbeitungsprogrammen (z.B. notepad) entfällt.</t>
  </si>
  <si>
    <t>2024-06-11 06:14:37.015817</t>
  </si>
  <si>
    <t>53f456e7-6ee1-4792-9b34-1ea0ae6a4af5</t>
  </si>
  <si>
    <t>gender-ungender</t>
  </si>
  <si>
    <t>Applikation ersetzt Begriffe mit dem gegenderten (oder ungegenderten) Begriff. Begriffe werden aus der opendata Liste entnommen._x000D_
_x000D_
(Im Zuge eines Hackathons an der FH Campus entstanden.)</t>
  </si>
  <si>
    <t>2024-06-11 06:14:39.022105</t>
  </si>
  <si>
    <t>412e1c7c-e35b-4cbb-b1c7-0347a68ed6b8</t>
  </si>
  <si>
    <t>shock</t>
  </si>
  <si>
    <t>Shock</t>
  </si>
  <si>
    <t>Shock zeigt nicht nur die öffentlichen Defibrillatoren inkl. Erreichbarkeit in Wien sondern gibt auch nützliche Tipps zum Reanimieren._x000D_
_x000D_
Rufe den Notruf direkt aus der App heraus an und finde Erste-Hilfe-Kurse bei den "Vier für Wien".</t>
  </si>
  <si>
    <t>2024-06-11 06:14:39.158652</t>
  </si>
  <si>
    <t>9d8c3fd3-e1fa-4656-87b2-598b21365fef</t>
  </si>
  <si>
    <t>mapline-2</t>
  </si>
  <si>
    <t>Mapline</t>
  </si>
  <si>
    <t>Mapping solution that allows businesses to plot their data on a map.</t>
  </si>
  <si>
    <t>2024-06-11 06:14:41.251386</t>
  </si>
  <si>
    <t>["7a8aae59-71a4-4500-b38b-bdf15c7f627f"]</t>
  </si>
  <si>
    <t>4a30667b-65ea-4272-9272-366da6b12cb9</t>
  </si>
  <si>
    <t>ris</t>
  </si>
  <si>
    <t>ris+</t>
  </si>
  <si>
    <t>ris+ ist eine Suchmaschine für Gesetze._x000D_
_x000D_
ris+ ist der einfachste Weg Gesetze zu finden. Egal ob Stichwort oder ganzes Zitat, komplettes Gesetz oder einzelner Paragraf: einfach in das Suchfeld eingeben und Sie bekommen – dank instant-feedback – schon während des Tippens erste Ergebnisse._x000D_
_x000D_
Verfeinern Sie die Suche, indem Sie sie zum Beispiel auf ein spezifisches Gesetz einschränken. Auch das schnelle Aufrufen von Urteilen wird unterstützt: einfach die Geschäftszzahl eingeben.</t>
  </si>
  <si>
    <t>2024-06-11 06:14:50.992708</t>
  </si>
  <si>
    <t>6118504d-37a6-4eaa-bc8a-d048f814511a</t>
  </si>
  <si>
    <t>ergebnisverlauf-und-auszaehlungsgrad-nrw-2017</t>
  </si>
  <si>
    <t>Ergebnisverlauf und Auszählungsgrad NRW 2017</t>
  </si>
  <si>
    <t xml:space="preserve">Die Visualisierung stellt anhand der zeitlich gestaffelten Ergebnisdaten des BMI zur Nationalratswahl 2017 die Entwicklung der Parteiergebnisse dar. Gezeigt, welche Gemeinden zu welchem Zeitpunkt ausgezählt waren und welche Unterschiede sich zwischen städtischen und ländlichen Regionen ergeben. </t>
  </si>
  <si>
    <t>2024-06-11 06:14:30.482494</t>
  </si>
  <si>
    <t>["3179c5b2-9bb5-4a7f-a573-5491ccb0110b"]</t>
  </si>
  <si>
    <t>e11974b3-6c87-4f5c-b7c5-a5a97048f959</t>
  </si>
  <si>
    <t>wien-u-bahn-bus</t>
  </si>
  <si>
    <t>Wien U-Bahn &amp; Bus</t>
  </si>
  <si>
    <t>Alles zum Thema öffentliche Verkehrsmittel in Wien, Österreich - Linien, Fahrpläne, Abfahrtszeiten, Routen... Auch offline.</t>
  </si>
  <si>
    <t>2024-06-11 06:14:30.383637</t>
  </si>
  <si>
    <t>70e720cc-f5b0-4a92-bb92-2ab072e1a288</t>
  </si>
  <si>
    <t>opentrees-org</t>
  </si>
  <si>
    <t>OpenTrees.org</t>
  </si>
  <si>
    <t>Explore the combined urban tree datasets of 150+ cities around the world, including Linz and Vienna. A number of visualisations are provided, including by species, rarity, health or maturity.</t>
  </si>
  <si>
    <t>2024-06-11 06:14:42.329315</t>
  </si>
  <si>
    <t>["c91a4635-8b7d-43fe-9b27-d95dec8392a7", "f660cf3f-afa9-4816-aafb-0098a36ca57d"]</t>
  </si>
  <si>
    <t>e47b9988-63b9-43f8-8890-7e210f007a34</t>
  </si>
  <si>
    <t>lineare-regression-von-heiraten</t>
  </si>
  <si>
    <t>Lineare Regression von Heiraten</t>
  </si>
  <si>
    <t>Implementierung einer linearen Regression auf Heiraten in Salzburg. Umgesetzt mit den JavaScript Libraries React, React-vis, regression.js.</t>
  </si>
  <si>
    <t>2024-06-11 06:14:30.586633</t>
  </si>
  <si>
    <t>["096e7096-8e0a-40a1-9da3-5cceee97d53a"]</t>
  </si>
  <si>
    <t>72d1ef14-b4dd-49d3-a579-3609778a4b0c</t>
  </si>
  <si>
    <t>greenify</t>
  </si>
  <si>
    <t>Greenify</t>
  </si>
  <si>
    <t xml:space="preserve">Greenify ist eine Anwendung welche öffentliche Grünflächen auf einer Google Map im Browser darstellt. Es ist möglich durch filter diese Grünflächen einzuschränken._x000D_
Diese Anwendung hat ein Java Backend welches als REST service dient und ein Angular 6 Frontend welches dieses Service konsumiert und die Daten anzeigt. </t>
  </si>
  <si>
    <t>2024-06-11 06:14:36.171326</t>
  </si>
  <si>
    <t>["d0145df8-7f6d-46e1-9bc6-ee7897054104"]</t>
  </si>
  <si>
    <t>cbd65d1d-4488-4a26-8833-d32e8685c6f9</t>
  </si>
  <si>
    <t>lokale-suche-von-apotheken</t>
  </si>
  <si>
    <t>Lokale Suche von Apotheken</t>
  </si>
  <si>
    <t>Mit der Lokalen Suche von Apotheken gelangen Besucher, optional mit Hilfe von Karten-Navigation zur nächsten Apotheke. Zusätzlich erhalten Besucher Informationen wie Öffnungszeiten und Kontaktinformationen wie Telefonnummer und Adresse. Die Anwendung ist Mobil Optimiert und somit von Unterwegs auf dem Handy vollständig nutzbar (basierend auf dem Local Based Search Ansatz erhält der Benutzer auch Informationen zu den nächst gelegenen Standorten und somit die Standorte mit der meisten Relevanz).</t>
  </si>
  <si>
    <t>2024-06-11 06:14:43.098481</t>
  </si>
  <si>
    <t>["cf00fe06-e4b2-4319-af00-85230e7b2f1b"]</t>
  </si>
  <si>
    <t>ba1cdcd0-c665-4b73-8138-43d9b5a3e594</t>
  </si>
  <si>
    <t>coronatracker-at</t>
  </si>
  <si>
    <t>coronatracker.at</t>
  </si>
  <si>
    <t>Zahlen, Daten &amp; Fakten zur Ausbreitung des neuartigen Coronavirus (SARS-CoV-2 / COVID19) in Österreich. Die umfangreiche grafische Aufbereitung der Daten erlaubt eine genaue Verfolgung der Ausbreitung in Österreich. Neben einer Gesamtübersicht werden die Daten auch nach Bundesland und Bezirk gegliedert. Zusätzlich bietet der Tracker Daten &amp; Grafiken zur weltweiten Ausbreitung des Virus.</t>
  </si>
  <si>
    <t>2024-06-11 06:14:45.430461</t>
  </si>
  <si>
    <t>["4b71eb3d-7d55-4967-b80d-91a3f220b60c"]</t>
  </si>
  <si>
    <t>ad7d4c49-0b23-41b4-9210-6f2e1374059a</t>
  </si>
  <si>
    <t>kurzparkzonen-wien-4</t>
  </si>
  <si>
    <t>Eine Open Source Web-App, die die Open Data Parkinformationen der Stadt Wien visualisiert. Kurzparkzeiten werden in einem gleich strukturiertem Format dargestellt und derzeit aktive Kurzparkzonen werden hervorgehoben._x000D_
_x000D_
Es gibt auch eine simple Android-App, welche die Webseite auch offline anbietet._x000D_
_x000D_
Der komplette Programmcode steht unter der GPL v3.0 Lizenz und hat keine Abhängigkeiten zu unfreien Diensten (Google Play Services, Google Maps, etc.)_x000D_
_x000D_
 </t>
  </si>
  <si>
    <t>2024-06-11 06:14:41.154635</t>
  </si>
  <si>
    <t>["6858b208-62bc-424e-9d7b-c89b74d3d3e3", "aa8876c7-9711-4969-b428-34400f2d0dbe", "4315e096-f51e-4b56-8235-57be9789a62c", "6d92970a-d698-418b-8576-f3b03dc1a59a", "71a6ca86-228a-4b57-b1bc-c3b887dd009e", "5983a1bb-62b6-4e26-afd0-dc234b34cf4b"]</t>
  </si>
  <si>
    <t>6736384c-9a83-45a3-bd6f-8d8b6fc240d5</t>
  </si>
  <si>
    <t>student-newcomer-application</t>
  </si>
  <si>
    <t>Student Newcomer Application</t>
  </si>
  <si>
    <t xml:space="preserve">Für ein Semester zum Studieren ins Ausland ist eine gute Möglichkeit Land und Leute kennen zu lernen und die Sprache zu erlernen. Vor dem Antritt muss bereits eine Wohnung oder eine Wohngemeinschaft gefunden werden. Dies ist oftmals nicht einfach und kann dazu führen dass der Austauschstudent sehr weit außerhalb vom Stadtzentrum oder mit den öffentlichen Verkehrsmitteln schlecht erreichbar wohnt._x000D_
_x000D_
Die Student Newcomer Application hilft bei der Entscheidungsfindung einer neuen Unterkunft, indem die Umgebung auf Infrastruktur, Lokalitäten und Einkaufsmöglichkeiten abgesucht wird und zum Beispiel für Lebensmittel die Näherte und die Billigste Einkaufsmöglichkeit darstellt. Zusätzliche Informationen, wie Öffnungszeiten oder der Homepage Link,können mit einen Klick angezeigt werden._x000D_
</t>
  </si>
  <si>
    <t>2024-06-11 06:14:30.992301</t>
  </si>
  <si>
    <t>f6d343df-9e25-486e-a6d6-264d46908e5f</t>
  </si>
  <si>
    <t>ozon</t>
  </si>
  <si>
    <t>Ozon</t>
  </si>
  <si>
    <t>Ozon liefert den stundengenauen Ozonwert in ihrer Nähe und warnt sie bei Überschreitung der Schwellenwerte. Die Daten stammen direkt vom Österreichischen Umweltbundesamt und werden als Open Government Data zur Verfügung gestellt. Diese Applikation ist vor allem bei Kindern mit überempfindlichen Bronchen oder Personen mit Erkrankungen der Atemwege interessant. Die Daten werden stündlich über die Open-Data-Schnittstelle des Österreichischen Bundes-Umweltamtes abgerufen und grafisch sowie geografisch entsprechend aufbereitet.</t>
  </si>
  <si>
    <t>2024-06-11 06:14:31.216628</t>
  </si>
  <si>
    <t>f8efb941-7259-4bea-81a0-150e187f6182</t>
  </si>
  <si>
    <t>lawdroid-at-oesterreichische-und-eu-gesetze</t>
  </si>
  <si>
    <t>Lawdroid AT - Österreichische und EU-Gesetze</t>
  </si>
  <si>
    <t>Android-App zum bequemen Lesen und Verwalten aller österreichischen Bundesgesetze sowie des europäischen Primär- und Sekundärrechts</t>
  </si>
  <si>
    <t>2024-06-11 06:14:51.024587</t>
  </si>
  <si>
    <t>["9b73c5ff-97c7-4a51-adda-3142e84f0094"]</t>
  </si>
  <si>
    <t>780fa21e-38cf-4e53-a449-9fae3a2d1f36</t>
  </si>
  <si>
    <t>parkingbot-salzburg-sbgpark_bot</t>
  </si>
  <si>
    <t>Parkingbot Salzburg - @sbgpark_bot</t>
  </si>
  <si>
    <t xml:space="preserve">TelegramChatBot zum Abfragen der Parkinformationen der Stadt Salzburg._x000D_
Es ist möglich sich die nächstgelegene Parkgarage anzeigen zu lassen, sämtliche Infos darüber abzurufen und sofern verfügbar auch die freien Plätze abzurufen. Weiteres kann auch einzeln nach einem Parkhaus gesucht werden. Zusätzlich bietet der Bot die Möglichkeit, 5 Behindertenparkplätze in unmittelbarer Umgebung zu suchen. </t>
  </si>
  <si>
    <t>2024-06-11 06:14:30.155007</t>
  </si>
  <si>
    <t>129be567-25c5-423f-8d31-c2166d38ad56</t>
  </si>
  <si>
    <t>wahldatenbank-at</t>
  </si>
  <si>
    <t>wahldatenbank.at</t>
  </si>
  <si>
    <t>Die Datenbank enthält Teil- und Gesamtergebnisse sowie Mandatsverteilungen von Nationalrats-, EU-, Bundespräsidentschafts- und Landtagswahlen in Österreich seit 1945 und erlaubt neben der Ergebnisabfrage unterschiedliche Auswertungen und Vergleiche.</t>
  </si>
  <si>
    <t>2024-06-11 06:14:30.217413</t>
  </si>
  <si>
    <t>["09716341-2bea-4298-9525-e936d8247d19", "fff27cd6-426c-479f-ae66-077ae6f1437d", "26f4d3e5-9ad6-456a-9045-34badb1f33cf", "8e3d16a2fe1c26ea4dc1d283aa35dc164112b131", "1dfe8290-3972-11e2-81c1-0800200c9a66", "0eb6493d-4caa-424d-846d-9445f19d99cf", "2fa6a140-3693-4f20-acef-11ceec9e8a84", "037ed0f2-1ac3-4aca-8b64-fb60dc145f1e", "084094a8-8261-49d0-96c5-d16da89f9624", "2b10a91b-51d5-4e34-b992-8fd3a3121f0d"]</t>
  </si>
  <si>
    <t>33991140-4b8a-4ac9-801b-b37a76bb851e</t>
  </si>
  <si>
    <t>zeitkugeln-2</t>
  </si>
  <si>
    <t>zeitkugeln</t>
  </si>
  <si>
    <t>Eine Medienkunstinstallation mit Alltagsnutzen: Die durch die Echtzeit-Abfahrtsdaten der Wiener Linien gesteuerten  „zeitKugeln" zeigen bei Tag und Nacht weithin sichtbar an, wann die nächste U-Bahn abfährt. Die "zeitKugeln" befinden sich bei U2-Endstation "Seestadt".</t>
  </si>
  <si>
    <t>2024-06-11 06:14:49.747527</t>
  </si>
  <si>
    <t>4059535b-52a5-4660-b4fd-e4f72a35df0b</t>
  </si>
  <si>
    <t>parken-in-graz</t>
  </si>
  <si>
    <t>Alle Parkplätze, Parkgaragen und Park&amp;Ride Möglichkeiten in Graz mit geographischer Suche nach nächstgelegener Parkmöglichkeit._x000D_
_x000D_
Features_x000D_
* alle Parkplätze, Parkhäuser und Park&amp;Ride Möglichkeiten in Graz basierend auf Open Data vom Magistrat Graz (laufendes Updates)_x000D_
* laufende Aktualisierung der Entfernungen zu den einzelnen Parkplätzen in der Liste und in der Karte während der Anfahrt_x000D_
* Integration der Routenplanung und Navigation von iOS_x000D_
* geographische Suche nach Standort_x000D_
* Detailanzeige zu jeder Parkmöglichkeit_x000D_
* alle Parkmöglichkeiten als Liste sortiert nach Entfernung und auf der Graz-Karte_x000D_
_x000D_
_x000D_
 </t>
  </si>
  <si>
    <t>2024-06-11 06:14:31.769642</t>
  </si>
  <si>
    <t>983466ae-6b42-4808-87c1-e39cc7bfd11d</t>
  </si>
  <si>
    <t>zeitlinie-graz</t>
  </si>
  <si>
    <t>Zeitlinie Graz</t>
  </si>
  <si>
    <t>Zeitlinie Graz stellt die Entwicklung des Grazer Straßenbahnnetzes von 1878 bis heute dar. Dabei werden aktuell ab 1911 alle Linien genau eingezeichnet, außerdem sind ebenfalls Planungen für zukünftige Streckenerweiterungen erhalten.</t>
  </si>
  <si>
    <t>2024-06-11 06:14:36.47101</t>
  </si>
  <si>
    <t>91720c02-f0c2-4a88-a3a0-69bc2f7220cf</t>
  </si>
  <si>
    <t>xctrack-2</t>
  </si>
  <si>
    <t>XCTrack</t>
  </si>
  <si>
    <t>Damit Piloten sich vor und während dem Flug über Luftfahrthindernisse informieren können, werden die Hindernisse als Linie auf einer Karte angezeigt. Die Daten werden zentral gepflegt und dann automatisch auf den Geräten aktualisiert.</t>
  </si>
  <si>
    <t>2024-06-11 06:14:36.501543</t>
  </si>
  <si>
    <t>["d7b2b2a9-89e1-4612-b588-5c0134c6069f"]</t>
  </si>
  <si>
    <t>6a64f064-da1e-43aa-adce-767147d4c8d4</t>
  </si>
  <si>
    <t>schal-legal</t>
  </si>
  <si>
    <t>Schal legal?</t>
  </si>
  <si>
    <t>Ist es schon kalt genug, damit ich einen Schal legal tragen kann? Wir helfen weiter!</t>
  </si>
  <si>
    <t>2024-06-11 06:14:36.78092</t>
  </si>
  <si>
    <t>eed8baaa-0c9f-4fad-a232-ce9b968d484b</t>
  </si>
  <si>
    <t>bileto-2</t>
  </si>
  <si>
    <t>Bileto</t>
  </si>
  <si>
    <t>End to end journey planner website and application. Initially covering all places in Czechia, and all routes inside country and originating in Czechia going abroad. We have just launched data for Wien as well to provide end-to-end search from any address, place of interest in Vienna to any place in Czechia.</t>
  </si>
  <si>
    <t>2024-06-11 06:14:39.332505</t>
  </si>
  <si>
    <t>["ab4a73b6-1c2d-42e1-b4d9-049e04889cf0", "21fca925-12ac-4215-ba1a-a9c73cb3b082"]</t>
  </si>
  <si>
    <t>b450e231-2148-4f9e-9afb-149238cc937d</t>
  </si>
  <si>
    <t>ogd-cockpit</t>
  </si>
  <si>
    <t>OGD Cockpit</t>
  </si>
  <si>
    <t>Das OGD Cockpit bietet die Möglichkeit (interne) Datenkataloge zu erstellen, Daten einer Bewertung zu unterziehen und Veröffentlichungen zu planen.</t>
  </si>
  <si>
    <t>2024-06-11 06:14:30.518209</t>
  </si>
  <si>
    <t>["05f6c1e4-ae72-45a5-b249-105212463591"]</t>
  </si>
  <si>
    <t>967b7bb8-2672-43ae-bdaf-779e754f6d46</t>
  </si>
  <si>
    <t>guteluft-info</t>
  </si>
  <si>
    <t>guteluft.info</t>
  </si>
  <si>
    <t>Leicht verständliche visuelle Darstellung der aktuellen Luftschadstoff-Belastung in Wien._x000D_
_x000D_
Aus den Werten der Wiener Umweltmessstationen wird ein Luftqualitätsindex ermittelt, der die aktuelle Situation in der Stadt vereinfacht zusammenfasst: Bei einem Index von 0-25 gilt die Schadstoffbelastung als "sehr niedrig", von 25-50 als "niedrig", von 50-75 als "mittel", von 75-100 als "hoch" und über 100 als "sehr hoch". Diesem Index ist zusätzlich eine Farbskala von Grün bis Rot zugeordnet._x000D_
_x000D_
Die Messstationen mit ihren aktuellen Werten sind sowohl in der Landkarte als auch als Liste übersichtlich dargestellt.</t>
  </si>
  <si>
    <t>2024-06-11 06:14:35.97319</t>
  </si>
  <si>
    <t>["f2bb4f42-2c40-4c9d-890b-c2b3061bfe5a", "d9ae1245-158e-4d79-86a4-2d9b3defbedc"]</t>
  </si>
  <si>
    <t>6bf1b609-00ef-4941-b90c-b8f9157b45b7</t>
  </si>
  <si>
    <t>telegram-bot-air-quality-vienna</t>
  </si>
  <si>
    <t>Telegram Bot - Air Quality Vienna</t>
  </si>
  <si>
    <t xml:space="preserve">Dieser Telegram-Bot ermöglicht die Abfrage der aktuellen Messwerte der 17 Wiener Umweltmessstationen. Es werden die jeweils verfügbaren Messwerte dargestellt, z.B. Temperatur, Luftfeuchte, Wind, Ozon, Feinstaub, NO2, NOx, SO2._x000D_
_x000D_
_x000D_
Die Daten werden periodisch von der „Air-Quality-Chain“, einer Blockchainanwendung zur Protokollierung und unveränderlichen, dezentralen Speicherung von Messdaten eingelesen und verarbeitet, der Bot holt die Daten von der AQC._x000D_
_x000D_
_x000D_
Weitere Features, wie z.B. Zeitreihenauswertungen, Maximalwerte, Benachrichtigungen bei Grenzwertüberschreitungen usw. werden bei Bedarf ebenfalls aktiviert._x000D_
_x000D_
</t>
  </si>
  <si>
    <t>2024-06-11 06:14:35.907265</t>
  </si>
  <si>
    <t>["d9ae1245-158e-4d79-86a4-2d9b3defbedc"]</t>
  </si>
  <si>
    <t>ca1cf8f9-e887-4566-98f0-2d95562a5f81</t>
  </si>
  <si>
    <t>gps4u</t>
  </si>
  <si>
    <t>Gps4u</t>
  </si>
  <si>
    <t>Flottenmanagement für den Kommunal- und Logistik Bereich._x000D_
Erfassen, Dokumentieren und stellen sie ihre erbrachten Dienstleistungen sicher._x000D_
_x000D_
Bei Fragen wenden Sie sich bitte an Georg Machacek (+436643862350) oder an unser Team unter [joe@mo4jo.at](mailto:joe@mo4jo.at)</t>
  </si>
  <si>
    <t>2024-06-11 06:14:36.814261</t>
  </si>
  <si>
    <t>94bf981c-fd53-43e6-9a80-45ae034d7773</t>
  </si>
  <si>
    <t>visualisierung-nationalratswahl-2019-aehnliche-bezirke</t>
  </si>
  <si>
    <t>Visualisierung Nationalratswahl 2019 - Ähnliche Bezirke</t>
  </si>
  <si>
    <t>Die Visualisierung fasst die Wahlergebnisse der Nationalratswahl 2019 auf Bezirksebene zusammen und erstellt Gruppen "ähnlicher" Bezirke.</t>
  </si>
  <si>
    <t>2024-06-11 06:14:41.345692</t>
  </si>
  <si>
    <t>["8becadda-124e-43f3-900e-f1ab685574e5"]</t>
  </si>
  <si>
    <t>a171d028-f809-4045-9352-45bb985cb132</t>
  </si>
  <si>
    <t>my-playparks</t>
  </si>
  <si>
    <t>My Playparks</t>
  </si>
  <si>
    <t>My Playparks is your ultimate companion when it comes to finding the playparks and playgrounds in the neighbourhood.</t>
  </si>
  <si>
    <t>2024-06-11 06:14:42.533442</t>
  </si>
  <si>
    <t>1fcefced-27f7-43dc-8f54-1f2cb0272f35</t>
  </si>
  <si>
    <t>die-beliebtesten-vornamen-wiens-seit-2000</t>
  </si>
  <si>
    <t>Die beliebtesten Vornamen Wiens seit 2000</t>
  </si>
  <si>
    <t>Mein Beitrag für angehende Eltern Wiens. Vielleicht hilft er ja bei der Namenswahl - zumindest wenn man entweder einen sehr beliebten Namen sucht oder genau das ausschließen will._x000D_
Inhalt der Visualisierung: Die jeweils 100 beliebtesten Mädchen- und Bubennamen pro Jahr seit 2000 in Wien. _x000D_
_x000D_
 </t>
  </si>
  <si>
    <t>2024-06-11 06:14:30.446669</t>
  </si>
  <si>
    <t>4b4c9376-addf-46c6-bf40-f2d6a026f6c5</t>
  </si>
  <si>
    <t>stadtsalzburg-maps</t>
  </si>
  <si>
    <t>STADT:SALZBURG maps</t>
  </si>
  <si>
    <t>Offizieller Stadtplan der Stadt Salzburg mit Informationen zu Einrichtungen aus den Bereichen Freizeit und Sport, Gesundheit und Soziales, Kinder/Jugend/Familie, Raum, Umwelt, Wissen und Verkehr.</t>
  </si>
  <si>
    <t>2024-06-11 06:14:36.568021</t>
  </si>
  <si>
    <t>98769f16-60c3-4b20-b70d-cabf2d3e3f77</t>
  </si>
  <si>
    <t>gemeindeergebnisse-eu-wahl-2019</t>
  </si>
  <si>
    <t>Gemeindeergebnisse EU-Wahl 2019</t>
  </si>
  <si>
    <t>Die Visualisierung fasst die Gemeindeergebnisse der EU-Wahl 2019 in Österreich zusammen und zeigt, wie diese Einzelergebnisse bei den Parteien unterschiedlich verteilt sind.</t>
  </si>
  <si>
    <t>2024-06-11 06:14:39.224483</t>
  </si>
  <si>
    <t>["7e8c895e-073f-4e39-bcc4-a509976f4120"]</t>
  </si>
  <si>
    <t>07fe8434-ccfa-453f-969a-d67a22e0d4e3</t>
  </si>
  <si>
    <t>basemap-at-vektor-mit-mapbox-gl-js</t>
  </si>
  <si>
    <t>basemap.at Vektor mit Mapbox GL JS</t>
  </si>
  <si>
    <t>Minimalistische Proof of Concept Demokarte für die Verwaltungskarte Vektor.</t>
  </si>
  <si>
    <t>2024-06-11 06:14:49.391268</t>
  </si>
  <si>
    <t>["a73befc7-575f-48cb-8eb9-b05172a8c9e3"]</t>
  </si>
  <si>
    <t>0a147c3d-31c7-4d4c-a4ec-b059b45c711b</t>
  </si>
  <si>
    <t>citybikes-radfahren-in-wien</t>
  </si>
  <si>
    <t>Citybikes: Radfahren in Wien</t>
  </si>
  <si>
    <t xml:space="preserve">☆ Echtzeit-Anzeige freier Räder und Stellplätze _x000D_
☆ 121 Citybike Wien Stationen mit Aktivitäts- und Auslastungsanzeige _x000D_
☆ Google Maps Karte mit deinem Standort (GPS Position) und umliegenden Fahrrad-Stationen _x000D_
☆ Stationsbeschreibungen mit Aktualisierung in Echtzeit _x000D_
☆ Animation wenn ein Rad ausgeliehen oder zurückgebracht wird _x000D_
☆ Alle wichtigen Informationen intelligent aufbereitet und auf einen Blick! </t>
  </si>
  <si>
    <t>2024-06-11 06:14:36.269641</t>
  </si>
  <si>
    <t>4f12d484-5075-44b6-8280-697121ab9488</t>
  </si>
  <si>
    <t>moovit-app</t>
  </si>
  <si>
    <t>Moovit App</t>
  </si>
  <si>
    <t>Moovit ist die # 1 Transit-App mit mehr als 100 Millionen Nutzern weltweit. Moovit ist gratis im Apple Store und im Google Play Store erhältlich.</t>
  </si>
  <si>
    <t>2024-06-11 06:14:36.746263</t>
  </si>
  <si>
    <t>1bdaef0e-ffdd-4d1c-af54-ca0d7f9fd727</t>
  </si>
  <si>
    <t>austrian-elevation-service</t>
  </si>
  <si>
    <t>Austrian Elevation Service</t>
  </si>
  <si>
    <t>Dieser kostenlose Höhendatendienst Österreichs basierend auf einem Geländemodel mit 10 Meter Auflösung ist bis auf weiteres für jeden Entwickler frei zugänglich. Höhendaten sind derzeit in allen Bundesländern bis auf Wien, Niederösterreich und Burgenland verfügbar.</t>
  </si>
  <si>
    <t>2024-06-11 06:14:41.058787</t>
  </si>
  <si>
    <t>b9013384-84f1-4a78-94e0-8daac0eb9d93</t>
  </si>
  <si>
    <t>defis-in-wien</t>
  </si>
  <si>
    <t>Defis in Wien</t>
  </si>
  <si>
    <t>Alle Defibrillatoren ("Defis") in Wien in einer interaktiven Liste und Karte mit Routenplanung._x000D_
_x000D_
Features_x000D_
* Übersicht zu in der Nähe befindlicher Defis als Liste und in der Karte_x000D_
* laufende Aktualisierung der Entfernungen_x000D_
* geographische Suche via Adresse und Karte_x000D_
* laufende Aktualisierungen der Daten da basierend auf Open Data der Stadt Wien_x000D_
* Routenplanung vom aktuellen Standort per Auto oder zu Fuß_x000D_
* Notruf direkt aus der App und Anzeige der aktuellen Adresse_x000D_
_x000D_
_x000D_
 </t>
  </si>
  <si>
    <t>2024-06-11 06:14:32.082639</t>
  </si>
  <si>
    <t>1e11deff-2574-4b1c-9d5a-62f85967b3e5</t>
  </si>
  <si>
    <t>offener-haushalt-engerwitzdorf-2</t>
  </si>
  <si>
    <t>Offener Haushalt Engerwitzdorf</t>
  </si>
  <si>
    <t>Die Visualisierung des Haushaltes von Engerwitzdorf in Zeitreihen und einer Auftstellung nach Einahmen/Ausgaben sowie verschiedenen Haushaltsbereichen.</t>
  </si>
  <si>
    <t>2024-06-11 06:14:32.476292</t>
  </si>
  <si>
    <t>["81c62c6d-d7b9-49db-bfdb-66225b245c78", "9125f584-19ca-4465-807d-2596ca05f3ea"]</t>
  </si>
  <si>
    <t>4d1f94d7-863a-445e-8eb5-8a1d31ded0ca</t>
  </si>
  <si>
    <t>baby-benamsen</t>
  </si>
  <si>
    <t>Baby benamsen</t>
  </si>
  <si>
    <t xml:space="preserve">Das Namenslexikon, um DEN Namen für dein Baby zu finden._x000D_
_x000D_
So einfach war es noch nie, den passenden Vornamen für dein Baby zu finden! Die App zeigt dir einen in deiner Region beliebten Vornamen an. Gefällt er dir nicht? Schüttle einfach dein Smartphone und ein neuer Name erscheint._x000D_
_x000D_
EINFACHER GEHT ES NICHT!_x000D_
_x000D_
Alle Features auf einem Blick:_x000D_
* Neuer zufälliger Name durch Schütteln deines Smartphones_x000D_
* Lieblingsnamen markieren und merken_x000D_
* Auswahl aus über 4.800 Namen_x000D_
* Beliebte Vornamen deiner Region aus den letzten 10 Jahren_x000D_
* Kostenlos und werbefrei_x000D_
_x000D_
_x000D_
Die beliebtesten Vornamen für Mädchen und Jungen aus:_x000D_
* Engerwitzdorf_x000D_
* Graz_x000D_
* Linz_x000D_
* Niederösterreich_x000D_
* Oberösterreich_x000D_
* Salzburg_x000D_
* Steiermark_x000D_
* Tirol_x000D_
* Vorarlberg_x000D_
* Wien_x000D_
</t>
  </si>
  <si>
    <t>2024-06-11 06:14:32.722709</t>
  </si>
  <si>
    <t>["9861f2a3-d9ed-44e6-a2e5-34ac2b3561dd", "8f68fe3e-d27b-440c-ba9f-c1ed3e8f987b", "431d3247-42e4-4c0c-8be2-275352c07e57", "87fc82a0-0042-49c8-b6f9-2602cd3dc17a", "0770d1e6-8c28-4c82-ad3f-5c9e63a8888d", "806c3e987d4a7fb2ae862f923b45046333d7437f", "988368f6-7bd6-4d6a-bf60-1d07ffa6cfc4", "7bc04db0-3718-11e3-aa6e-0800200c9a66", "0f00e9fb-27cd-4c70-b5c8-33a5e79aaffb", "ce4f1d6f-2d98-4736-935c-0cc681412e68", "1a5c0ea3-432f-45e8-a305-19dd147867c0", "3678ee56-4340-4e9d-bd59-379cb3c69103"]</t>
  </si>
  <si>
    <t>a4c4c8a8-bbfd-4768-b1d4-a3a7ee6a57e3</t>
  </si>
  <si>
    <t>vienname-2</t>
  </si>
  <si>
    <t>Vienname</t>
  </si>
  <si>
    <t>Mit dieser App wollen wir dir helfen, einen Namen für dein Baby zu finden. Du kannst deine Suche eingrenzen, indem du das Geschlecht, die Anzahl der Buchstaben oder den gewünschten Anfangsbuchstaben angibst. Du erhältst ein Diagramm, das dir die entsprechenden Namen in der Reihenfolge ihrer Beliebtheit anzeigt. Falls du ganz ratlos bist, klick einfach auf den Zufallsgenerator für ein beliebiges Ergebnis!_x000D_
_x000D_
Möchtest du mehr Informationen über einen bestimmten Namen, klick einfach auf den Balken und lass dir den Eintrag aus Wikipedia anzeigen._x000D_
_x000D_
Anschließend kannst du das Ergebnis mithilfe der Sharebuttons mit deinen FreundInnen teilen._x000D_
_x000D_
Die Daten für diese Applikation stammen vom Open-Data-Projekt data.gv.at. Sie enthalten jeweils die 200 beliebtesten Namen Wiens pro Jahr, von 2000 bis 2011. Lass dich also durch diese Anwendung von den Namen Wiens inspirieren.</t>
  </si>
  <si>
    <t>2024-06-11 06:14:32.83415</t>
  </si>
  <si>
    <t>207c4e0b-29cc-4b75-907d-6cd9ab59cd06</t>
  </si>
  <si>
    <t>woody-2</t>
  </si>
  <si>
    <t>Woody</t>
  </si>
  <si>
    <t xml:space="preserve">Obwohl die Stadt Wien rund 120.000 Bäume betreut, fehlt vielen Menschen ein Bezug zur Natur im urbanen Umfeld. Woody ist eine App welche auf spielerische Art ein Bewusstsein für die Wiener Bäume schafft. Ziel der App ist es, den kleinen Holzwurm namens Woody mit Holz zu versorgen. Das Besondere daran ist, dass man sich physisch vor einem echten Baum befinden muss, um die Nahrung auf verschiedene Arten zu beschaffen: Baum fällen und Holzvorrat sichern oder doch lieber Woody für einen harmlosen Snack am Baum absetzen?_x000D_
_x000D_
Zusammen mit einer Karte und „Baumpedia“ ist diese App ein pädagogisch wertvolles sowie sehr unterhaltsames Spiel für alle Altersgruppen._x000D_
_x000D_
Dieses Projekt wurde im Rahmen einer Lehrveranstaltung der Forschungsgruppe INSO (&lt;http://www.inso.tuwien.ac.at&gt;) der TU Wien entwickelt._x000D_
_x000D_
\*\*\*\* NUR IN WIEN SPIELBAR \*\*\*\*_x000D_
_x000D_
Anforderungen:_x000D_
* Betriebssystem: Google Android ab Version 2.3.3_x000D_
* Sensoren: Bewegungssensor, GPS-Empfänger_x000D_
* Speicherplatz: ca. 20 MB_x000D_
* Internetverbindung: Wireless oder Datenübertragung des Netzanbieters_x000D_
</t>
  </si>
  <si>
    <t>1b383bf1-fe38-4719-8093-7219fc0a7acf</t>
  </si>
  <si>
    <t>google-dataset-search-2</t>
  </si>
  <si>
    <t>Google Dataset Search</t>
  </si>
  <si>
    <t>[Google Dataset Search](https://toolbox.google.com/datasetsearch "Die externe Seite im neuen Tab/Fenster öffnen") ist ein spezielles Suchwerkzeug von Google und soll es vor allem Wissenschaftlern, Journalisten oder z.B. Studenten erleichtern, Datensätze von Forschungsinstituten, Behörden und anderen wissenschaftlichen Einrichtungen zu finden._x000D_
_x000D_
Alle Datensätze von data.gv.at sind aufgrund der [schema.org Unterstützung](https://www.data.gv.at/2019/04/10/schema-org-integration-google-dataset-search/) auch in Google Dataset Search auffindbar._x000D_
_x000D_
Nach Abschluss des Beta-Stadium sollen die zusätzlich verfügbaren Metadaten auch in die reguläre Google Websuche integriert werden und die darüber gefunden Daten aufbereitet anbieten.</t>
  </si>
  <si>
    <t>2024-06-11 06:14:51.128742</t>
  </si>
  <si>
    <t>d97e67c1-438a-45b7-8875-c0b52ca2395e</t>
  </si>
  <si>
    <t>schwimmen-in-wien</t>
  </si>
  <si>
    <t>Schwimmen in Wien</t>
  </si>
  <si>
    <t>Eine Karte, welche die Badestellen und Schwimmbäder in Wien zeigt.</t>
  </si>
  <si>
    <t>2024-06-11 06:14:35.94121</t>
  </si>
  <si>
    <t>["898afe8c-0297-45d6-b4b5-0cb9e632094b", "7c6e9dbf-487b-4146-a379-19e46642c392", "4e8d237b-8bd4-4483-a85d-431784c543b9"]</t>
  </si>
  <si>
    <t>456b6f5d-3c8c-49f9-86cc-2c8657f13b5c</t>
  </si>
  <si>
    <t>studie-zur-visualisierung-von-planaenderungen-des-flaechenwidmungs-und-bebauungsplanes</t>
  </si>
  <si>
    <t>Studie zur Visualisierung von Planänderungen des Flächenwidmungs- und Bebauungsplanes</t>
  </si>
  <si>
    <t>Änderungen im Flächenwidmungs- und Bebauungsplan sind für die Betroffenen, d.h. die Anrainer, aber auch für die Entscheidungsträger oft schwer zu lesen. Ein Grund liegt darin, dass es sich um 2D Pläne handelt, während etwa Hinweise auf die Bauklassen die dritte Dimension betreffen. Demnach wäre eine, zumindest vereinfachte Darstellung als digitales 3D Modell hilfreich. _x000D_
Bei dem vorliegenden Modell handelt es sich um eine Studie, die in vereinfachter Form mögliche Änderungen eines Flächenwidmungs- und Bebauungsplanes 3-dimensional veranschaulicht. Der Fokus liegt auf einer einfachen Visualisierung der Auswirkungen verschiedener Höhenbeschränkungen durch Bauklassen und dient demnach als erster Anhaltspunkt. Die Funktionalität wird an einem konkreten Beispiel getestet. Der Einfachheit halber wurden komplexere Vorgaben der OIB 3 und der Wiener Bauordnung vorerst nicht berücksichtigt._x000D_
Als Plangrundlage dienen der Entwurf 2, Flächenwidmungs- und Bebauungsplan, Plan Nr. 8241, Beilage 1, das Geländemodell (DGM) und die Baukörpermodell (LOD1) der Stadt Wien.</t>
  </si>
  <si>
    <t>2024-06-11 06:14:36.436191</t>
  </si>
  <si>
    <t>["bb86970f-3cef-4f9a-a79b-ff277ea925c8", "25b694ad-802b-4f64-bcbc-09897b0dcbf7", "214a3e63-31aa-47de-a49c-5ea5a80330ed"]</t>
  </si>
  <si>
    <t>9a6a52fc-5c75-4d8f-b6d0-dda457d26885</t>
  </si>
  <si>
    <t>usp-ausschreibungssuche-app</t>
  </si>
  <si>
    <t>USP Ausschreibungssuche</t>
  </si>
  <si>
    <t>Mit dem Service "Ausschreibungssuche" ist es möglich, ohne zusätzliche Anmeldung alle nach dem österreichischen Bundesvergabegesetz [veröffentlichten Ausschreibungen](https://www.data.gv.at/suche/?searchterm=&amp;tagFilter_sub%5B%5D=Ausschreibung) an einer Stelle zu suchen und einzusehen. Darüber hinaus bietet das Service viele Features wie eine Volltextsuche und verschiedene Filter- und Sortiermöglichkeiten.</t>
  </si>
  <si>
    <t>2024-06-11 06:14:51.159567</t>
  </si>
  <si>
    <t>948e296b-abfa-49bb-90f6-bef4c94471f6</t>
  </si>
  <si>
    <t>meetart-2</t>
  </si>
  <si>
    <t>MeetArt</t>
  </si>
  <si>
    <t>MeetArt ist die Anlaufstelle für Kunstinteressierte im Web. Durch unseren Service erhält man einen perfekten Überblick über alle Kunstwerke im öffentlichen Raum Wiens. Neben dem Titel und dem exakten Standort eines jeden Objekts, erhält man zusätzliche Informationen zu Künstlern, Inschriften, Materialien, Entstehungsjahren als auch weiterführende Literaturquellen.</t>
  </si>
  <si>
    <t>2024-06-11 06:14:32.986235</t>
  </si>
  <si>
    <t>736c108c-4470-40ca-a981-011745a6091a</t>
  </si>
  <si>
    <t>open-data-browser-austria</t>
  </si>
  <si>
    <t>Open Data Browser Austria</t>
  </si>
  <si>
    <t>Diese Windows 8 App listet alle Datensätze die es auf data.gv.at gibt. Neben den Informationen die auf dem Portal data.gv.at verfügbar sind gibt es auch Anzeige Möglichkeiten für fast alle Datensätze wie zum Beispiel PDF Dokumente und Geodaten  in den verschiedensten Ausprägungen (POIs, Routen und Flächen)_x000D_
_x000D_
Neue Datensätze bzw. Änderungen in bestehenden Datensätzen sind automatisch in der App verfügbar und wenn eine passende Visualisierung verfügbar ist können diese Daten auch gleich angezeigt werden! Weitere Visualisierungsmöglichkeiten wie zum Beispiel Diagramme werden in zukünftigen Updates nachgereicht.</t>
  </si>
  <si>
    <t>2024-06-11 06:14:33.091587</t>
  </si>
  <si>
    <t>c1121b8e-fea3-4ef4-bc71-7f56fd2b50fc</t>
  </si>
  <si>
    <t>infizierte-at</t>
  </si>
  <si>
    <t>infizierte.at</t>
  </si>
  <si>
    <t>Übersicht der Corona Infizierten für gesamt Österreich, für alle Bundesländer und Bezirke inklusive Impfungsstatistik.</t>
  </si>
  <si>
    <t>2024-06-11 06:14:48.689923</t>
  </si>
  <si>
    <t>["4b71eb3d-7d55-4967-b80d-91a3f220b60c", "785b29a3-ec82-4b5e-9085-cccba063a19c"]</t>
  </si>
  <si>
    <t>c54d08f9-28b7-4079-92c6-940599b96e5f</t>
  </si>
  <si>
    <t>m-doris-at</t>
  </si>
  <si>
    <t>m.doris.at</t>
  </si>
  <si>
    <t>Mit m.doris.at” können Sie (ohne Installation) alle Landkarten des “Digitalen Oberösterreichischen Raum-Informations-System” des Landes Oberösterreich (DORIS) nun auch auf ihrem Tablet-PC oder Smartphone nutzen, die Sie vielleicht schon von [www.doris.at](http://www.doris.at) kennen._x000D_
_x000D_
Es stehen Ihnen dabei eine Fülle von Landkarten zu den Themen Land- und Forstwirtschaft, Raumplanung, Umwelt- und Naturschutz, Verkehr, Wasser, Kunst und Kultur, etc. zur Verfügung. Diese können Sie mit unterschiedlichsten Hintergrundkarten wie hochgenauen Orthofotos, Ortsplänen und sogar historischen Landkarten kombinieren. Natürlich können Sie zu den einzelnen Themenbereichen auch weiterführende Informationen abfragen._x000D_
_x000D_
Sie haben weiters die Möglichkeit nach Adressen, Grundstücken, Orten, Flüssen, Bergen, etc. in Oberösterreich zu suchen.</t>
  </si>
  <si>
    <t>2024-06-11 06:14:33.053854</t>
  </si>
  <si>
    <t>95986c1a-8263-4cd3-b7aa-a38266b33a02</t>
  </si>
  <si>
    <t>platzerl-finder</t>
  </si>
  <si>
    <t>Platzerl Finder</t>
  </si>
  <si>
    <t>Die Anwendung wurde im Rahmen der Lehrveranstaltung "Raumbezogenes Informationsmanagement und Applikationsentwicklung" der Studienrichtung Raumplanung und Raumordnung von StudentInnen an der TU Wien entwickelt._x000D_
_x000D_
Die Anwendung nutzt den Datensatz der [Sportstätten](http://www.data.gv.at/datensatz/?id=71084c02-973d-4544-b804-7ed82bd53027) und ermöglicht eine Abfrage nach den nächstgelegenen Standorten mit bestimmten Eigenschaften (indoor/outdoor). Die Ergebnisse werden in einer Karte dargestellt._x000D_
_x000D_
In einem Tutorial wird die Erstellung der Anwendung im Detail erläutert. Bei der Umsetzung wurde ausschließlich Open Source Software verwendet.</t>
  </si>
  <si>
    <t>2024-06-11 06:14:33.198777</t>
  </si>
  <si>
    <t>601fc386-41dc-4ced-9345-ad6254aa5bd7</t>
  </si>
  <si>
    <t>statistik-niederosterreich</t>
  </si>
  <si>
    <t>Statistik Niederösterreich</t>
  </si>
  <si>
    <t>Beschreibung: "Statistik Niederösterreich" zeigt umfangreiche statistische Daten zur Bevölkerungsentwicklung des Landes Niederösterreich._x000D_
Unter Verwendung der Open Government Daten von http://data.noe.gv.at werden folgende Daten dynamisch und grafisch aufbereitet:_x000D_
* Bevölkerung nach Alter und Geschlecht_x000D_
* Bevölkerung nach Gemeinden - Volkszählungen_x000D_
* Bevölkerung nach Geschlecht und Gemeinden_x000D_
* Lebendgeborene nach Geschlecht_x000D_
* Sterbefälle nach Geschlecht_x000D_
* Vornamen in Niederösterreich_x000D_
* Wanderungen nach Gemeinden_x000D_
* Bevölkerung nach Migrationshintergrund_x000D_
_x000D_
_x000D_
Die Daten werden anhand von Tortendiagrammen und Liniendiagrammen animiert dargestellt._x000D_
Diese App wurde in Zusammenarbeit mit dem Land Niederösterreich und der Fachhochschule Wiener Neustadt entwickelt. Mit freundlicher Unterstützung von pilhar.net.</t>
  </si>
  <si>
    <t>2024-06-11 06:14:33.362841</t>
  </si>
  <si>
    <t>["fde11447-12cf-4333-bed9-c37056551e0c", "d91833f6-da35-4b2e-b7bd-70c342f45cf3", "a6cb8349-0327-400a-879b-df7167080e4a", "32ab3b13-c3a1-461c-b781-5740ac52b27a", "8d64dce7-2940-4bd5-b92e-e4b19ea110c6", "37b73723-af41-446e-8a06-adb7ebed48a1", "aae06e72-4481-4ec6-b0f4-138b6c696f73", "0770d1e6-8c28-4c82-ad3f-5c9e63a8888d", "cb45bff3-65f5-46a2-b340-516f3994a41e"]</t>
  </si>
  <si>
    <t>75eb3df9-2bee-4f86-9383-e15cfc182cef</t>
  </si>
  <si>
    <t>baukoerpermodell-wien-visualisierung</t>
  </si>
  <si>
    <t>Baukörpermodell Wien Visualisierung</t>
  </si>
  <si>
    <t>3D-Visualisierung des Baukörpermodells Wien. Erstellt mit QGIS und Blender.</t>
  </si>
  <si>
    <t>2024-06-11 06:14:41.218555</t>
  </si>
  <si>
    <t>["76c2e577-268f-4a93-bccd-7d5b43b14efd"]</t>
  </si>
  <si>
    <t>b880487d-6ad7-49b5-ab6c-65e09007f1d4</t>
  </si>
  <si>
    <t>tischtennis-wien</t>
  </si>
  <si>
    <t>Tischtennis Wien</t>
  </si>
  <si>
    <t>Mit der App Tischtennis Wien werden dir alle verfügbaren Tischtennisplätze auf einer Karte angezeigt. Dabei kannst du auf einen Blick erkennen, ob die Tischtennistische im Freien oder in einer Halle sind. Um deine Lieblingsplätze leichter zu finden kannst du sie zu deinen Favoriten hinzufügen.</t>
  </si>
  <si>
    <t>2024-06-11 06:14:42.50257</t>
  </si>
  <si>
    <t>["bd8b518b-d812-46f9-b367-4c1b660cfc99", "71084c02-973d-4544-b804-7ed82bd53027"]</t>
  </si>
  <si>
    <t>bf4875ce-93db-4563-a214-dd24db5b12a1</t>
  </si>
  <si>
    <t>baederampel-wien</t>
  </si>
  <si>
    <t>Bäderampel Wien</t>
  </si>
  <si>
    <t>Im Sommer 2020 ist die Anzahl der verfügbaren Plätze pro Bad begrenzt. Die Bäderampel zeigt an, welche Bäder noch freie Plätze haben.</t>
  </si>
  <si>
    <t>2024-06-11 06:14:43.298333</t>
  </si>
  <si>
    <t>["898afe8c-0297-45d6-b4b5-0cb9e632094b", "2c54f4d6-5712-4e5a-a025-b7f7a396c39b"]</t>
  </si>
  <si>
    <t>5af8f177-9e6f-4450-825e-fbe3bd1e55c8</t>
  </si>
  <si>
    <t>corona-zahlen-online</t>
  </si>
  <si>
    <t>Corona Zahlen Online</t>
  </si>
  <si>
    <t>Webanwendung, die diverse Daten zu Covid-19 visualisiert und u.a. auch interaktive Ländervergleiche zulässt.</t>
  </si>
  <si>
    <t>2024-06-11 06:14:45.569217</t>
  </si>
  <si>
    <t>["4b71eb3d-7d55-4967-b80d-91a3f220b60c", "ef8e980b-9644-45d8-b0e9-c6aaf0eff0c0"]</t>
  </si>
  <si>
    <t>584ec4b8-8bd6-4b9d-92f2-fffb0aff01eb</t>
  </si>
  <si>
    <t>karte-mit-gemeindebauwohnungen-pro-zaehlbezirk</t>
  </si>
  <si>
    <t>Karte mit Gemeindebauwohnungen pro Zählbezirk</t>
  </si>
  <si>
    <t>Wiener Zählbezirke, gefärbt nach Anzahl der Gemeindebauwohnungen. Die 100 größten Höfe sind rot eingetragen._x000D_
Verarbeitet und geplottet werden die Daten mit Python, vor allem mit den libraries [geopandas](https://geopandas.org/) und [cartopy](https://pypi.org/project/Cartopy/).</t>
  </si>
  <si>
    <t>2024-06-11 06:14:44.473871</t>
  </si>
  <si>
    <t>["a5987f3c-3131-4e6e-b91c-fe0756e69926", "2ee6b8bf-6292-413c-bb8b-bd22dbb2ad4b", "e4079286-310c-435a-af2d-64604ba9ade5"]</t>
  </si>
  <si>
    <t>ff0728cb-e83f-4b89-989a-81653f54c347</t>
  </si>
  <si>
    <t>parlagram</t>
  </si>
  <si>
    <t>Parlagram</t>
  </si>
  <si>
    <t>Das Parlagram des [Momentum Instituts](https://www.momentum-institut.at/) macht die Debatten im österreichischen Nationalrat für die Vielen durchsuchbar. Worüber reden die gewählten Volksvertreterinnen und Volksvertreter im Parlament eigentlich? Welche Themen und Anliegen finden Gehör, was bleibt im wörtlichen Sinne unerwähnt? Finde es heraus.</t>
  </si>
  <si>
    <t>2024-06-11 06:14:41.533856</t>
  </si>
  <si>
    <t>89038042-a878-4b47-88b2-2fd3e32a4f05</t>
  </si>
  <si>
    <t>telefonvorwahlen-und-postleitzahlen</t>
  </si>
  <si>
    <t>Telefonvorwahlen und Postleitzahlen</t>
  </si>
  <si>
    <t>In dieser Karte können die Telefonvorwahlen und Postleitzahlen in den Nummernkreisen gesucht und betrachtet werden.</t>
  </si>
  <si>
    <t>2024-06-11 06:14:44.836332</t>
  </si>
  <si>
    <t>["f76ed887-00d6-450f-a158-9f8b1cbbeebf", "6c4f8a28-1909-4096-af71-94b6c08809fc", "2c54f4d6-5712-4e5a-a025-b7f7a396c39b"]</t>
  </si>
  <si>
    <t>af59bcfd-b020-49d1-9632-35aba28b8e5e</t>
  </si>
  <si>
    <t>wiener-mortalitaetsmonitoring</t>
  </si>
  <si>
    <t>Wiener Mortalitätsmonitoring</t>
  </si>
  <si>
    <t>Die Landesstatistik Wien wertet wöchentlich die Sterblichkeit der Wiener Bevölkerung im laufenden Jahr und bis 2007 zurück in Hinblick auf ungewöhnliche Ereignisse aus.</t>
  </si>
  <si>
    <t>2024-06-11 06:14:43.031124</t>
  </si>
  <si>
    <t>["feaddbdf-ed07-4c37-818a-db63447d5567"]</t>
  </si>
  <si>
    <t>bc1d9caa-ed84-4c19-be85-9f0de937d734</t>
  </si>
  <si>
    <t>web-csv-diff</t>
  </si>
  <si>
    <t>Web CSV Diff</t>
  </si>
  <si>
    <t>Web CSV Diff ist ein webbasiertes CSV-Vergleichstool. Es erlaubt auf einfache Art und Weise, 2 CSV Dateien miteinander zu vergleichen.</t>
  </si>
  <si>
    <t>2024-06-11 06:14:43.520747</t>
  </si>
  <si>
    <t>020b688a-9393-4c81-8c92-c96e5bf2762b</t>
  </si>
  <si>
    <t>immobilienseiten-oesterreich</t>
  </si>
  <si>
    <t>Immobilienseiten Österreich</t>
  </si>
  <si>
    <t>Auf dem Immobilienseiten Immobilienportal findet man tausende aktuelle Immobilienangebote, von verschiedenen Immobilienanbietern in ganz Österreich!</t>
  </si>
  <si>
    <t>2024-06-11 06:14:38.990406</t>
  </si>
  <si>
    <t>17a1abd4-416d-4111-9dc3-15fa44a4608b</t>
  </si>
  <si>
    <t>covid-19-dashboard-oesterreich-2</t>
  </si>
  <si>
    <t>COVID-19 Dashboard Österreich</t>
  </si>
  <si>
    <t>Umfangreiches Dashboard inklusive Prognoserechnungen, R(eff) Bestimmungen, Simulationen, Vergleiche von insgesamt 7 Datenquellen</t>
  </si>
  <si>
    <t>2024-06-11 06:14:45.068389</t>
  </si>
  <si>
    <t>["3765ed62-0f9d-49ad-83b0-1405ed833108", "2f6649b6-2b2d-49a9-ab31-6c7e43728001", "ef8e980b-9644-45d8-b0e9-c6aaf0eff0c0", "4b71eb3d-7d55-4967-b80d-91a3f220b60c", "846448a5-a26e-4297-ac08-ad7040af20f1", "d3b85461-fc0d-3639-9aa9-39211c4ecade"]</t>
  </si>
  <si>
    <t>009c5216-e203-480d-9e5b-a1a7a17456b7</t>
  </si>
  <si>
    <t>mein-wien</t>
  </si>
  <si>
    <t>Mein Wien</t>
  </si>
  <si>
    <t>Mein Wien ist die individualisierte und personalisierte Service-Plattform für die Wienerinnen und Wiener. Hauptkategorien von Mein Wien sind "Mein Grätzl" - eine Zusammenfassung der angebotenen locationbased Services und "Meine Amtswege" - eine Zusammenfassung von modernen one-touch bzw. no-touch governmental Services für die BürgerInnen. Unter "Mein Grätzl" werden neben anderen Datenquellen auch die Veränderungen div. OGD-Wien Layer dargestellt.</t>
  </si>
  <si>
    <t>2024-06-11 06:14:47.549986</t>
  </si>
  <si>
    <t>["4315e096-f51e-4b56-8235-57be9789a62c", "6d92970a-d698-418b-8576-f3b03dc1a59a", "627a9226-a907-4018-89e3-878002a9d22b", "455cf48c-cdee-4721-a0ed-cd38af7aff0f", "25267974-6d44-455e-b76f-248e29ff7df7", "be2e0197-57b8-4fcf-a144-cb33f7466f3a", "523ba2e4-8c55-4dde-8acf-39e3621811b0", "97ef14eb-f280-48a7-96c0-df03859b06c2", "699a5a9a-348c-4a46-b99e-a23b59f27721", "c5cf2502-7572-4fd1-a836-48b335a2d47d", "5349b414-5069-45be-8869-7d94261d4936", "6f412521-2e9b-44b1-a3e4-8f1358caef63", "898afe8c-0297-45d6-b4b5-0cb9e632094b", "28a7419c-f432-4e1a-b0a6-aa9e71968a14", "87f121a7-eef0-4be9-9372-a5efe5b4d375", "69e6ff08-39af-4764-8de8-b75e5de7295f", "354f9aa0-2f0a-4cdf-9b60-d023da93cc76", "ef474003-b774-4b22-8912-fb95966f44be", "af468794-caa3-4565-8e69-a838332e532d", "88e7ff53-257d-4299-99b5-c659b87b5116", "3df7a50f-108d-40bc-a041-e3092fc50a81", "5de779c2-93fc-4830-8e36-93e9ff1e7f7d", "79e7e34e-4d2f-46be-8a40-24a84b20b1ba", "1039ed7e-97fb-435f-b6cc-f6a105ba5e09", "da8fc842-d9cd-4a8b-9dcf-642ebdbc9049", "fa499042-c486-42a0-973a-7211490c1764", "36886c25-6961-4055-96b2-b3e8b138e588", "a73c5b74-a9c9-4caa-a796-e4c832645614", "d0145df8-7f6d-46e1-9bc6-ee7897054104", "6858b208-62bc-424e-9d7b-c89b74d3d3e3", "aa8876c7-9711-4969-b428-34400f2d0dbe", "5983a1bb-62b6-4e26-afd0-dc234b34cf4b", "71a6ca86-228a-4b57-b1bc-c3b887dd009e", "8e420764-a913-4eae-8514-9be858fdb9b3", "bd8b518b-d812-46f9-b367-4c1b660cfc99", "7c6e9dbf-487b-4146-a379-19e46642c392", "c6fc4688-1aca-4363-bd1a-8d14ea08d2f8", "cabad01a-8cc7-48c0-b7e8-ffbe1e685b26", "298e6b5a-21a8-4d56-9484-1bac58c94a26", "826d798e-01d1-48d3-973c-e0e466a63ca8", "f0335765-1ab0-4e94-ab38-f404de4c3b4d", "aab0a0be-89e6-442e-8cf9-e762bd18f76b", "22add642-d849-48ff-9913-8c7ba2d99b46", "625e8422-dedb-47eb-b158-23ba1f07f760", "2c54f4d6-5712-4e5a-a025-b7f7a396c39b", "dcb4ba1d-94c6-48b9-82c9-e315bd0e8f31", "2adc5a86-faa3-4b63-acff-a66128b811b7", "c1ba372b-dba2-4bce-b72e-b5c832eaaf44", "3e62e13e-3955-494a-91b3-f00ab9e84b48", "716d89ce-b0da-4158-abb6-72f562206b37", "5d642d09-8e03-4200-a79b-2a397a6d5d51", "c294da25-b556-4bd6-9e1a-343b28279a33", "e7065317-1d57-434a-8428-efa263ecc526", "c7e84d16-449e-4154-a1bd-603b4fae329e", "2ed52078-7e55-40ea-8036-0d89118a06f4", "8d482810-26da-4bbc-8599-6b1fd1ab8743", "98908792-f315-4834-9b5e-20fed66cbe5a", "54fc7750-8540-4c22-8d46-9a6a2641c41a", "47c7ffa9-65ba-41d1-9461-4e5458afd62e", "d2c6f6f5-2236-4217-8361-3297b6369979", "146384fc-3f64-4482-a78a-2f082411a27d", "3ff63cf5-8d04-4be5-9449-96411ae9fc36", "636db558-6bde-477d-a417-0f62636e59bc", "336bbdae-a29d-47c5-8c0d-f51affffd44f", "4f677177-23bc-4f0a-8dbf-578762c8d976", "fdcaabe5-0efd-4701-8fd9-49935c0d9cff", "d13d3866-2c68-4353-9a41-c29ebf1a3abc", "aa12dc22-ba50-42a0-bda1-30d41c64d5eb", "2cbdf333-97e9-4c91-b846-17a8e8c167d8"]</t>
  </si>
  <si>
    <t>60dfd38a-5ea3-444e-8cdb-e5818f01596c</t>
  </si>
  <si>
    <t>qneat3-2</t>
  </si>
  <si>
    <t>QNEAT3</t>
  </si>
  <si>
    <t>QNEAT3 (Qgis NEtwork Analysis Toolbox 3) ist ein QGIS Plugin, das die Processing Funktionen um fortgeschrittene Algorithmen zur Netzwerkanalyse (Origin-Destination Matrizen, Kürzester Wege Algorithmus, Isochronen Berechnung) ergänzt. Ziel bei der Entwicklung war es, anhand der vorhandenen Möglichkeiten und Funktionalitäten von QGIS, erweiterte Algorithmen zur Lösung komplexerer Fragestellungen bereitzustellen. Das Plugin wurde unter Nutzung von Open Government Data Datensätzen entwickelt und getestet und ist weltweit einsetzbar.</t>
  </si>
  <si>
    <t>2024-06-11 06:14:36.405276</t>
  </si>
  <si>
    <t>["1039ed7e-97fb-435f-b6cc-f6a105ba5e09", "72fbf32e-c8c3-4914-92a1-66dc2439a114", "3fefc838-791d-4dde-975b-a4131a54e7c5"]</t>
  </si>
  <si>
    <t>6adce52a-da27-4f16-afd8-8481b39e238d</t>
  </si>
  <si>
    <t>corona-map</t>
  </si>
  <si>
    <t>Corona-map</t>
  </si>
  <si>
    <t>Eine Karte, auf der alle Corona Fälle pro Bezirk dargestellt werden.</t>
  </si>
  <si>
    <t>2024-06-11 06:14:45.664614</t>
  </si>
  <si>
    <t>8f2913c8-5856-4b30-a52d-c2928f8bd7aa</t>
  </si>
  <si>
    <t>statatlas-interaktiver-online-atlas-von-statistik-austria</t>
  </si>
  <si>
    <t>STATatlas - interaktiver online Atlas von Statistik Austria</t>
  </si>
  <si>
    <t>Der STATatlas ist die zentrale Sammlung für online-Kartenprodukte von Statistik Austria und bietet eine breite Übersicht über verschiedenste statistische Produkte. Unterschiedlichste Themenbereiche können hier an einer Stelle umfassend erkundet werden. Die digitalen thematischen Karten sollen komplexe Themen einfach visualisieren und regionale Unterschiede auf einen Blick verdeutlichen. Die Inhalte werden laufend erweitert und aktualisiert.</t>
  </si>
  <si>
    <t>2024-06-11 06:14:39.055985</t>
  </si>
  <si>
    <t>["2c54f4d6-5712-4e5a-a025-b7f7a396c39b", "ca996648-ed34-3dcd-a99f-68619f680241", "81f390f9-9b42-3a72-ad9b-e11a4dbebab0", "566c99be-b436-365e-af4f-27be6c536358"]</t>
  </si>
  <si>
    <t>8bd6bc24-86f0-480c-842d-6f52d4b6589b</t>
  </si>
  <si>
    <t>oegoe-oesterreichs-gruene-oeffis</t>
  </si>
  <si>
    <t>ÖGÖ – Österreichs Grüne Öffis</t>
  </si>
  <si>
    <t>Die Kartenapplikation schlägt umweltfreundliche Fortbewegungsmittel vor und fördert so die Nutzung öffentlicher Verkehrsmittel. Mit Filtern und Routenplaner können umweltfreundliche Fahrpläne zusammengestellt werden._x000D_
_x000D_
Die Applikation ist im Rahmen des Projekts [jugendhackt.at](https://www.data.gv.at/2019/11/18/junge-hackerinnen-verbessern-mit-offenen-daten-die-welt/) entstanden.</t>
  </si>
  <si>
    <t>2024-06-11 06:14:41.660166</t>
  </si>
  <si>
    <t>["7562f659-398d-46d7-9167-7f9ccaa00263", "884c0d9f-f790-41c2-a2a5-351b7c434896"]</t>
  </si>
  <si>
    <t>4cf68e3e-da9b-49a5-ac82-6688655c135b</t>
  </si>
  <si>
    <t>oesterreichisches-adressregister</t>
  </si>
  <si>
    <t>Österreichisches Adressregister</t>
  </si>
  <si>
    <t>Das Adressregister gibt österreichweit authentisch alle von den Gemeinden offiziell vergeben Adressen wieder. Dieser zentrale Adressdatenbestand ist Teil des Grenzkatasters (§9a VermG) und wird von den Gemeinden und Städten mit den im Vermessungsgesetz angeführten Merkmalen über eine zentrale Meldeschiene geführt und aktualisiert._x000D_
Die Web-Applikation zum österreichischen Adressregister ermöglichst die Suche nach einer offiziell vergebenen Adresse, sowie das Abfragen von weiteren Details zu dieser Adresse.</t>
  </si>
  <si>
    <t>2024-06-11 06:14:36.37209</t>
  </si>
  <si>
    <t>16ddb2dc-45eb-48ab-a7ea-2b8708571596</t>
  </si>
  <si>
    <t>aqc-air-quality-chain</t>
  </si>
  <si>
    <t>AQC - Air-Quality-Chain</t>
  </si>
  <si>
    <t>Die „Air-Quality-Chain“ ist ein System zur Protokollierung, unveränderlichen Speicherung und dezentralen Verteilung von Umweltmessdaten basierend auf der Blockchain Technologie._x000D_
_x000D_
Aktuell werden u.a. die Messdaten des Luftmessnetzes der Stadt Wien verarbeitet, die an 17 stationären Messstellen zur kontinuierlichen Messung von Luftschadstoffen erhoben werden. Diese Daten werden in 30 minütigen Intervallen im Rahmen von „data.gv.at – offene Daten Österreichs“ veröffentlicht._x000D_
_x000D_
Auch die Daten des NÖ Luftgüteüberwachungsnetzes werden verarbeitet, sie werden von "Open Government Data des Landes Niederösterreich" als Einstundenmittelwerte veröffentlicht._x000D_
_x000D_
AQC-Schnittstellen laden diese Daten periodisch und protokollieren sie in der AQC-Blockchain, wo sie unveränderlich gespeichert und an alle teilnehmenden Blockchain-Knoten („Nodes“) verteilt werden.</t>
  </si>
  <si>
    <t>2024-06-11 06:14:42.823998</t>
  </si>
  <si>
    <t>e0bff65f-dbf2-4c85-be41-223af841c054</t>
  </si>
  <si>
    <t>urban-trees</t>
  </si>
  <si>
    <t>Urban Trees</t>
  </si>
  <si>
    <t>Mit der Urban Trees App können, dank den Daten der Stadt Wien, alle öffentlichen Bäume in Wien identifiziert werden._x000D_
_x000D_
Entweder ganz klassisch auf einer Karte, oder mittels Augmented Reality (AR). Bei AR werden die Namen der Bäume direkt im Live-Bild ihrer iPhone Kamera angezeigt.</t>
  </si>
  <si>
    <t>2024-06-11 06:14:42.230359</t>
  </si>
  <si>
    <t>ffa113f6-b3e5-4efe-9ac5-cbcbc8a763a3</t>
  </si>
  <si>
    <t>polizei-dienststellen-finder</t>
  </si>
  <si>
    <t>Polizei Dienststellen Finder</t>
  </si>
  <si>
    <t>Mit dem Polizei-Finder auf HAUSVERSTAND.at findet der Besucher stehts die nächste Polizei-Dienststelle (Wachstube) sowohl in der interaktiven Landkarte, also auch im tabellarischen Format. Der Polizei-Finder beinhaltet auch die jeweiligen Kontaktdaten (Telefonnummer/Fax-Nummer etc.), Wegbeschreibung und Navigationshilfe.</t>
  </si>
  <si>
    <t>2024-06-11 06:14:36.204524</t>
  </si>
  <si>
    <t>5946eb79-b6c2-4cf8-b0d1-4695e5e88cdc</t>
  </si>
  <si>
    <t>plot-auszugsweise-zu-umfrageergebnisse-open-government-2018-wien</t>
  </si>
  <si>
    <t>Plot (auszugsweise) zu Umfrageergebnisse Open Government 2018 Wien</t>
  </si>
  <si>
    <t xml:space="preserve">Der Plot zeigt Graphen aus den Umfrageergebnissen "Open Government 2018 Wien", jedoch mit dem Schwerpunkt zu Open Data. </t>
  </si>
  <si>
    <t>2024-06-11 06:14:41.966797</t>
  </si>
  <si>
    <t>["e3a62956-16ba-4368-bc06-852796c261cb"]</t>
  </si>
  <si>
    <t>11a86699-2f7f-49dd-8a85-8ac485cd2852</t>
  </si>
  <si>
    <t>wegfinder-2</t>
  </si>
  <si>
    <t>wegfinder</t>
  </si>
  <si>
    <t>Nutze die gesamte Mobilität in Österreich. Einfach und schnell all deine Möglichkeiten vergleichen, kombinieren und buchen._x000D_
_x000D_
Eine App für alle Verkehrsmittel_x000D_
* Öffis_x000D_
* Zug_x000D_
* Carsharing_x000D_
* Bike-Sharing_x000D_
* Scooter-Sharing_x000D_
* Mietwagen_x000D_
* Mitfahrzentralen_x000D_
* Fernbus_x000D_
* Taxi_x000D_
* Uber_x000D_
_x000D_
_x000D_
**Routenplaner und Fahrplan**_x000D_
_x000D_
Vergleiche und kombiniere Wiener Linien, ÖBB, Westbahn und Co. mit Sharing-Diensten wie car2go, Donkey Republic, blabacar und vielen mehr! Reisedauer, Preiskalkulation, Abfahrtszeiten und Verfügbarkeiten erhältst du in Echtzeit direkt auf dein Smartphone. Mit dem gratis Routenplaner bist du somit in Stadt und Land gut ausgerüstet._x000D_
_x000D_
**Umgebungskarte und Haltestellenmonitor**_x000D_
_x000D_
Der mobile Stadtplan zeigt dir bei aktiviertem GPS das Mobilitätsangebot in deiner Nähe. Finde einfach Haltestellen, verfügbare Carsharing Fahrzeuge, Bike-Sharing Stationen und Taxistandplätze in deiner Umgebung. Mit einem Knopfdruck auf „Taxi rufen“ zeigen wir dir die verfügbaren Taxinummern an._x000D_
_x000D_
**Öffi-Ticketshop und Fahrzeuge buchen**_x000D_
_x000D_
Kaufe deine ÖBB und Öffi-Tickets für ganz Österreich direkt über die App. Der Chatbot führt dich durch den Kauf und kommst innerhalb weniger Schritte an dein Ticket. Verfügbar in ganz Österreich für alle Verkehrsverbünde und die ÖBB. Zur Reservierung deines Mietwagens oder Autos, leiten wir dich anschließend auf die Seite des Anbieters weiter._x000D_
_x000D_
**Echtzeitinfos und Störungsmeldungen**_x000D_
_x000D_
Sei dir sicher, dass dein Zug oder Carsharing-Auto verfügbar ist. Störungen des öffentlichen Verkehrs und Gleisinfos zeigen wir dir direkt in der App an. Auch Standorte und Tankfüllstände kannst du einfach von zuhause prüfen. Der Preisvergleich ist durch unsere Darstellung und Kalkulation besonders einfach._x000D_
_x000D_
Eine App für ganz Österreich | Von Wien über Linz bis Bregenz_x000D_
_x000D_
Empfohlen von ÖBB Scotty mobil: Fahrplanauskunft, Routen &amp; Tickets für alle Verkehrsverbünde und viele weitere Mobilitätsanbieter:_x000D_
_x000D_
✔️ ÖBB – Österreichische Bundesbahnen Tickets_x000D_
_x000D_
✔️ Westbahn_x000D_
_x000D_
✔️ Postbus_x000D_
_x000D_
✔️ CAT (City Airport Train)_x000D_
_x000D_
✔️ Vienna Airport Lines (VAL)_x000D_
_x000D_
✔️ Flixbus_x000D_
_x000D_
✔️ BlaBlaCar_x000D_
_x000D_
✔️ Verkehrsverbund Ost-Region (VOR)_x000D_
_x000D_
✔️ Oberösterreichischer Verkehrsverbund (OÖVV)_x000D_
_x000D_
✔️ Salzburger Verkehrsverbund (SVV)_x000D_
_x000D_
✔️ Verkehrsverbund Tirol (VVT)_x000D_
_x000D_
✔️ Verkehrsverbund Vorarlberg (VVV)_x000D_
_x000D_
✔️ Verkehrsverbund Steiermark (VST)_x000D_
_x000D_
✔️ Verkehrsverbund Kärnten (VVK)_x000D_
_x000D_
 _x000D_
_x000D_
Car Sharing und eigenes Auto_x000D_
_x000D_
✔️ car2go_x000D_
_x000D_
✔️ DriveNow_x000D_
_x000D_
✔️ Drivy_x000D_
_x000D_
✔️ MO.Point_x000D_
_x000D_
✔️ FAMILY OF POWER_x000D_
_x000D_
✔️ caruso_x000D_
_x000D_
✔️ sharetoo_x000D_
_x000D_
✔️ FloMobil_x000D_
_x000D_
✔️ Routenplanung für dein privates Auto_x000D_
_x000D_
✔️ E-Charging-Stationen in ganz Österreich_x000D_
_x000D_
✔️ AutoEurope Mietwagen_x000D_
_x000D_
 _x000D_
_x000D_
E-Scooter_x000D_
_x000D_
✔️ Bird_x000D_
_x000D_
✔️ Circ_x000D_
_x000D_
✔️ Lime_x000D_
_x000D_
✔️ TIER_x000D_
_x000D_
✔️ WIND_x000D_
_x000D_
 _x000D_
_x000D_
Motorroller Sharing_x000D_
_x000D_
✔️ goUrban_x000D_
_x000D_
✔️ mo2drive_x000D_
_x000D_
 _x000D_
_x000D_
Bike Sharing_x000D_
_x000D_
✔️ Citybike_x000D_
_x000D_
✔️ Nextbike_x000D_
_x000D_
✔️ Donkey Republic_x000D_
_x000D_
 _x000D_
_x000D_
Bedarfsverkehr auf Abruf_x000D_
_x000D_
✔️ Taxi rufen_x000D_
_x000D_
✔️ Uber bestellen_x000D_
_x000D_
✔️ Bedarfsverkehr.at_x000D_
_x000D_
✔️ Taxinummern in ganz Österreich_x000D_
_x000D_
✔️ Bahnhof-Shuttle Kärnten_x000D_
_x000D_
✔️ ISTmobil</t>
  </si>
  <si>
    <t>2024-06-11 06:14:41.090762</t>
  </si>
  <si>
    <t>["523ba2e4-8c55-4dde-8acf-39e3621811b0", "31416a3d-5a44-4f78-8b2c-765a2738aacc"]</t>
  </si>
  <si>
    <t>8fe5fc5b-818e-41cb-ae7c-4ce77665ea05</t>
  </si>
  <si>
    <t>how-to-hosting-basemap-at-vector-tiles-offline</t>
  </si>
  <si>
    <t>How-To: hosting basemap.at vector tiles offline</t>
  </si>
  <si>
    <t>Das Tutorial beschreibt im Detail, wie die [basemap.at](https://www.basemap.at) Vector Tiles mit Hilfe von Open Source Software auf privater Infrastruktur gehostet werden kann.</t>
  </si>
  <si>
    <t>2024-06-11 06:14:41.629218</t>
  </si>
  <si>
    <t>168a40a7-8f27-4df2-93a3-becd88213376</t>
  </si>
  <si>
    <t>taeglich-gemeldete-covid-19-faelle-pro-bezirk</t>
  </si>
  <si>
    <t>Täglich gemeldete Covid-19 Fälle pro Bezirk</t>
  </si>
  <si>
    <t>Die Visualisierung zeigt die täglich gemeldeten Covid-19 Fälle in Österreich pro Bezirk entlang einer Zeitachse verschiedener Ereignisse seit 22. März 2020.</t>
  </si>
  <si>
    <t>2024-06-11 06:14:45.365833</t>
  </si>
  <si>
    <t>5d91bf1f-31c0-4446-8d7c-fe2cb3bdfc97</t>
  </si>
  <si>
    <t>citymapper-2</t>
  </si>
  <si>
    <t>Citymapper</t>
  </si>
  <si>
    <t>Das Echtzeit-Navi für die Stadt.</t>
  </si>
  <si>
    <t>2024-06-11 06:14:41.693208</t>
  </si>
  <si>
    <t>["ab4a73b6-1c2d-42e1-b4d9-049e04889cf0", "522d3045-0b37-48d0-b868-57c99726b1c4"]</t>
  </si>
  <si>
    <t>876d204c-3615-49e0-9b46-517c977f4bd7</t>
  </si>
  <si>
    <t>openvtpk</t>
  </si>
  <si>
    <t>OpenVTPK</t>
  </si>
  <si>
    <t>OpenVTPK ermöglicht es Anwendern, die im Format VTPK vorliegenden Vector Tiles in einen MBTiles Container zu verpacken. Dadurch wird es möglich, eine Vielzahl frei verfügbarer (Vector) Tile Server für die Bereitstellung von basemap.at zu verwenden.</t>
  </si>
  <si>
    <t>2024-06-11 06:14:41.502793</t>
  </si>
  <si>
    <t>5bd511ac-c1ea-4e3b-8b4c-1dba49ee9838</t>
  </si>
  <si>
    <t>ladezonen-zur-tourenoptimierung-in-wien</t>
  </si>
  <si>
    <t>Ladezonen zur Tourenoptimierung in Wien</t>
  </si>
  <si>
    <t>Bei der von der PROCON DATA Datenverarbeitung GmbH angebotenen Tourenoptimierung werden in Wien die Zeitfenster und die Fahrzeugkategorien der Ladezonen bei der Zuteilung der Touren und bei der Reihenfolgeplanung der Routen berücksichtigt.</t>
  </si>
  <si>
    <t>2024-06-11 06:14:41.83215</t>
  </si>
  <si>
    <t>["25267974-6d44-455e-b76f-248e29ff7df7", "2ed7403c-5acc-499f-a317-a911da03d9da"]</t>
  </si>
  <si>
    <t>fe5528be-c1b5-41d4-8935-53a8172dc0da</t>
  </si>
  <si>
    <t>stadtfahrt</t>
  </si>
  <si>
    <t>Stadtfahrt</t>
  </si>
  <si>
    <t xml:space="preserve">Was kann Stadtfahrt?_x000D_
_x000D_
Echtzeitdaten für Öffentliche Verkehrsmittel in Wien (Wiener Linien)_x000D_
_x000D_
Funktionen_x000D_
* Abfahrtszeiten in Echtzeit und Countdown-Anzeige_x000D_
* Interaktive Karte mit Haltestellen, Suche und Streckenverlauf_x000D_
* Einzigartiger Routenplaner mit Schnellverbindungen und Teilen Funktion_x000D_
* Favoriten für Abfahrtsorte_x000D_
* Design individuell einstellbar_x000D_
_x000D_
_x000D_
Features_x000D_
* Heller / Dunkler Modus mit vielen, verschiedenen Farben und App Icons_x000D_
* Apple Watch App mit Abfahrtszeiten in der Nähe_x000D_
* Schnellzugriff per Apple Watch Zifferblatt Komplikation_x000D_
_x000D_
_x000D_
Besonderheiten_x000D_
* Moderne App-Architektur_x000D_
* Alles ist so einfach, wie möglich gestaltet_x000D_
* Übersichtliches Menü_x000D_
* Die Inhalte bleiben auch beim Wechseln zwischen den Menüs erhalten_x000D_
</t>
  </si>
  <si>
    <t>2024-06-11 06:14:36.136888</t>
  </si>
  <si>
    <t>b2504c26-e7b1-40ff-8bd8-f8e55cf13112</t>
  </si>
  <si>
    <t>terrain-rgb</t>
  </si>
  <si>
    <t>Terrain RGB</t>
  </si>
  <si>
    <t>Terrain RGB ist eine Anleitung um die Daten aus dem Digitalen Geländemodell Österreich so aufzubereiten, dass sie als Kacheln analog zu Mapbox's "Terrain RGB" zur Verfügung stehen.</t>
  </si>
  <si>
    <t>2024-06-11 06:14:42.096664</t>
  </si>
  <si>
    <t>["d88a1246-9684-480b-a480-ff63286b35b7", "7137fb45-733e-4e1c-b0ce-fedb8b7b3c67"]</t>
  </si>
  <si>
    <t>f2702f48-ae84-40cb-8e97-3de0767b8726</t>
  </si>
  <si>
    <t>2019-austrian-general-election-results</t>
  </si>
  <si>
    <t>2019 Austrian General Election Results</t>
  </si>
  <si>
    <t>The interactive map shows the final results of the 2019 Austrian General Election at the scale of municipalities (and districts of Vienna) – re-sized by number of eligible voters.</t>
  </si>
  <si>
    <t>2024-06-11 06:14:41.380715</t>
  </si>
  <si>
    <t>["8becadda-124e-43f3-900e-f1ab685574e5", "566c99be-b436-365e-af4f-27be6c536358"]</t>
  </si>
  <si>
    <t>7d98c0c4-ae53-4da8-b5cf-711e04c3079d</t>
  </si>
  <si>
    <t>wilis-stoerungsmonitor</t>
  </si>
  <si>
    <t>Wilis Störungsmonitor</t>
  </si>
  <si>
    <t>Wilis Störungsmonitor ist ein Skill für Amazon Alexa. Nach Aufruf kann der User die aktuellen Störungen und Aufzugsinfos erfragen.</t>
  </si>
  <si>
    <t>2024-06-11 06:14:42.956454</t>
  </si>
  <si>
    <t>de87d70e-915c-40c8-8565-fa2f5aa42bc9</t>
  </si>
  <si>
    <t>tendera</t>
  </si>
  <si>
    <t>TENDERA</t>
  </si>
  <si>
    <t>TENDERA ist eine offene Plattform die einen Überblick über Ausschreibungen der öffentlichen Hand in Österreich bietet. TENDERA ermöglicht:_x000D_
* Suche nach aktuellen, öffentlichen Ausschreibungen in Österreich_x000D_
* Recherche nach vergebenen Aufträgen der öffentlichen Hand_x000D_
* Filterung zur Auswahl neuer oder themenspezifischer Ausschreibungen_x000D_
* Graphische Aggregation von Auftragssummen pro Auftragsgegenstand bzw. AuftragnehmerIn_x000D_
_x000D_
_x000D_
Ohne Anmeldung und ohne Kosten ermöglicht TENDERA eine fundierte Einschätzung, ob eine Ausschreibung verfolgenswert ist.</t>
  </si>
  <si>
    <t>2024-06-11 06:14:43.416328</t>
  </si>
  <si>
    <t>["a2c49245-23b2-46e1-acc7-c5a78913a090", "41a809d9-0b61-4991-86b8-74dc07973af3", "78b227dc-78f6-4085-b4fb-772e040a14e0", "6bd1abfe-3dbf-4e04-b8cc-07114eb8810c", "009b7802-0b04-4fee-8dac-3922bd5098ae", "76efecc9-e509-4c6b-849b-f742ed3e258a", "86dd87bd-7426-40c5-946b-62b2af638aab", "8df6b76b-a1c8-45a4-ab7b-3ff8676e4b04", "9d58be92-32eb-43a7-9f38-dff44078864e", "505019f6-4c66-4ce4-9700-a5ed3cf664c3", "39e2a593-d508-4f64-8a04-8d6dbf730f9d", "3ad7b1eb-cac6-47b2-b957-ffba17606425", "fde58043-87ff-44b0-b6b0-3d089adfba4c", "23602b0b-c7b0-4f10-9910-7ee5329433bc", "ef47695d-7aa3-41cf-8c4e-d76aa4dae7d5", "9543be56-7309-4788-8de2-fbdd5006282b", "7fffba00-9b87-4fb4-8c71-68399d2a4291", "5e84d2ab-b5ca-48c3-b15f-3d71e4bca4ee", "3a520b08-7351-479c-9232-628727066f55", "e5f51f9d-9ddb-4fc7-95a8-ef0d9eb2144d", "7e80bc4b-3537-42fd-881f-d9290b34782e", "fd56466b-ced8-47ab-8d1a-9ce798948bad"]</t>
  </si>
  <si>
    <t>6241cad8-eafa-46ed-b72a-139d293c4cb5</t>
  </si>
  <si>
    <t>advolist</t>
  </si>
  <si>
    <t>Advolist</t>
  </si>
  <si>
    <t>Advolist ist ein österreichisches Start-Up aus dem Bereich Legal-Tech, welches Mandanten den perfekten Rechtsanwalt vermitteln möchte.</t>
  </si>
  <si>
    <t>2024-06-11 06:14:42.857281</t>
  </si>
  <si>
    <t>2bd37a73-132b-4edc-a0bb-4751186d291f</t>
  </si>
  <si>
    <t>bundeslaendergrenzen-oesterreich</t>
  </si>
  <si>
    <t>Bundesländergrenzen Österreich</t>
  </si>
  <si>
    <t>Einfache Downloadmöglichkeit der Bundesländergrenzen im Shapefileformat auf Basis der DKM.</t>
  </si>
  <si>
    <t>2024-06-11 06:14:41.313983</t>
  </si>
  <si>
    <t>["51bdc6dc-25ae-41de-b8f3-938f9056af62"]</t>
  </si>
  <si>
    <t>6935d18d-831d-4524-b850-0e0fdcc0dcf5</t>
  </si>
  <si>
    <t>covid-19-dashboard-oesterreich</t>
  </si>
  <si>
    <t>Update 2.3.2021: das Dashboard ist nicht mehr online verfügbar, dieser Eintrag bleibt für Archivzwecke bestehen._x000D_
_x000D_
Ein von SynerGIS Informationssysteme eingerichtetes Dashboard zeigt Karten und Statistiken zu den Coronavirus COVID-19 Fällen auf Bundeslandebene und im zeitlichen Verlauf. Datengrundlage sind öffentlich zugängliche Informationen vom Sozialministerium.</t>
  </si>
  <si>
    <t>2024-06-11 06:14:45.894128</t>
  </si>
  <si>
    <t>["ef8e980b-9644-45d8-b0e9-c6aaf0eff0c0", "d960f393-0a19-43f7-b2f1-2a79d9fc6fdd"]</t>
  </si>
  <si>
    <t>ccdea93a-1c28-4e3c-8556-bf556f9eee3c</t>
  </si>
  <si>
    <t>austrianelevation1m</t>
  </si>
  <si>
    <t>AustrianElevation1m</t>
  </si>
  <si>
    <t>Offizielles Q-GIS 3 Plugin, welches die punktuelle Abfrage von Höhendaten mit einem Meter Auflösung in ganz Österreich ermöglicht.</t>
  </si>
  <si>
    <t>2024-06-11 06:14:41.123414</t>
  </si>
  <si>
    <t>["4319e42f-8625-4385-a555-0cdbcda78672"]</t>
  </si>
  <si>
    <t>3b674b08-6ce7-47e4-baf6-0c5bbca18638</t>
  </si>
  <si>
    <t>verlauf-der-reproduktionszahl</t>
  </si>
  <si>
    <t>Verlauf der Reproduktionszahl</t>
  </si>
  <si>
    <t>Tagesaktuelle Berechnung der Reproduktionszahl mittels der von AGES veröffentlichten Methode und der epidemiologischen Kurve.</t>
  </si>
  <si>
    <t>2024-06-11 06:14:45.697002</t>
  </si>
  <si>
    <t>["ef8e980b-9644-45d8-b0e9-c6aaf0eff0c0"]</t>
  </si>
  <si>
    <t>fbc9d554-d9b7-47ca-b8ac-dd929160b5a8</t>
  </si>
  <si>
    <t>covid-19-bezirke-und-laender-mit-zeitreihe-und-min-max</t>
  </si>
  <si>
    <t>COVID-19: Bezirke und Länder mit Zeitreihe und Min/Max</t>
  </si>
  <si>
    <t xml:space="preserve">Einfärbung für Bezirke und Länder mit relativen Werten, Liniengrafik, Play Modus und Min/Max-Funktion_x000D_
* positiv Getestete_x000D_
* Anteil der Genesenen_x000D_
* Erkrankte_x000D_
* Anteil der Todesfälle_x000D_
* Neue Fälle_x000D_
</t>
  </si>
  <si>
    <t>2024-06-11 06:14:45.729138</t>
  </si>
  <si>
    <t>229ccf17-d391-4f1f-ab46-ea12993f20cd</t>
  </si>
  <si>
    <t>av-alanche-da-ta-vis-ualization</t>
  </si>
  <si>
    <t>/av/alanche /da/ta /vis/ualization</t>
  </si>
  <si>
    <t>Textuelle Darstellung der Messdaten der Wetterstationen in Tirol mit Links zu den Stationsgrafiken</t>
  </si>
  <si>
    <t>2024-06-11 06:14:41.901885</t>
  </si>
  <si>
    <t>["bb43170b-30fb-48aa-893f-51c60d27056f"]</t>
  </si>
  <si>
    <t>b0ccff09-45e0-46a0-ac52-5f9fe49cd594</t>
  </si>
  <si>
    <t>uber-movement</t>
  </si>
  <si>
    <t>Uber Movement</t>
  </si>
  <si>
    <t>Mit der Uber Movement Plattform lassen sich Fahrtzeiten auf den Straßen in Wien digital auswerten und visualisieren. Das ermöglicht Stadtplanern, Behörden und Forschungsinstitutionen fundierte Einsichten in den Mobilitätsbedarf der Stadt. Zudem können Effekte von Infrastrukturmaßnahmen gezielt analysiert und ausgewertet werden. Uber stellt die Daten frei zugänglich auf dem Uber Movement Portal bereit.</t>
  </si>
  <si>
    <t>2024-06-11 06:14:43.341317</t>
  </si>
  <si>
    <t>["0adc90c9-ac6b-47ef-aa83-b7780594720c"]</t>
  </si>
  <si>
    <t>105414f2-481e-43ab-80d1-d7e4ce8de9ce</t>
  </si>
  <si>
    <t>grr-grr-bike-game</t>
  </si>
  <si>
    <t>Grr-Grr-Bike Game</t>
  </si>
  <si>
    <t>Smart phone game designed to increase support for local bike programs and planning._x000D_
_x000D_
Endless "biker" game where players control a bike to avoid obstacles, opening doors and traffic signals. Results screen provides very short information on one or two local bike issues. This informations changes after each game and includes links to more detailed information._x000D_
_x000D_
The goal is to encourage more people - especially young people - to ride bikes and get involved in making biking safer and better in their community.</t>
  </si>
  <si>
    <t>2024-06-11 06:14:33.962071</t>
  </si>
  <si>
    <t>03c22ef2-e151-489d-b18b-ba10e285ae02</t>
  </si>
  <si>
    <t>app-sharedmobility-ai</t>
  </si>
  <si>
    <t>app.SharedMobility.ai</t>
  </si>
  <si>
    <t>Die SharedMobility.ai-App zeigt Vorhersagen für die Auslastung von Citybike Wien Stationen an. Als Eingangsvariablen für das Vorhersagemodell wurden dabei ZAMG-Wetterdaten genutzt, da je nach Wetter unterschiedliche Verleihmuster auftreten. Bei Regen wird weniger ausgeborgt und geradelt, als bei angenehmen Temparaturen und Sonnenschein._x000D_
_x000D_
Es handelt sich um eine Proof-of-Concept Web-Anwendung für das Netidee-geförderte Projekt SharedMobility.ai. Die Applikation wurde mit Vue.js und Vuetify umgesetzt.</t>
  </si>
  <si>
    <t>2024-06-11 06:14:41.472967</t>
  </si>
  <si>
    <t>["9b40a0af-a6fe-47ff-9624-2ea8f40c746f", "523ba2e4-8c55-4dde-8acf-39e3621811b0"]</t>
  </si>
  <si>
    <t>4da00315-74a4-43dc-b9f0-9428051264b3</t>
  </si>
  <si>
    <t>pressefoerderungen-zeitungsstatistiken-oesterreich</t>
  </si>
  <si>
    <t>Presseförderungen - Zeitungsstatistiken Österreich</t>
  </si>
  <si>
    <t>Das Ziel dieser Android App ist die Aufbereitung und Verbreitung der Presseförderungsdaten Österreichs.</t>
  </si>
  <si>
    <t>2024-06-11 06:14:42.127189</t>
  </si>
  <si>
    <t>["8e9cba91-c956-49fc-8567-99aa17caa02c"]</t>
  </si>
  <si>
    <t>23e6a4ef-5edd-462e-9a29-161e245432ac</t>
  </si>
  <si>
    <t>cityhikes-wiener-stadtwanderwege</t>
  </si>
  <si>
    <t>CityHikes - Wiener Stadtwanderwege</t>
  </si>
  <si>
    <t>Die CityHikes - Wiener Stadtwanderwege App soll einen Überblick über die Stadtwanderwege in Wien geben. Sie soll sowohl zum Planen eines Weges, als auch während der Wanderung zur Navigation dienen.</t>
  </si>
  <si>
    <t>2024-06-11 06:14:42.193995</t>
  </si>
  <si>
    <t>["60dd8dfc-3858-4096-b2df-544db8120827"]</t>
  </si>
  <si>
    <t>81593ecd-9693-4cd4-8df9-bc7cb0d7cdf0</t>
  </si>
  <si>
    <t>urlaubsguru-app</t>
  </si>
  <si>
    <t>Urlaubsguru App</t>
  </si>
  <si>
    <t>App für Urlaubsinformationen mit neuem Info-Feature, dass aktuelle Reisewarnungen zeigt.</t>
  </si>
  <si>
    <t>2024-06-11 06:14:42.789923</t>
  </si>
  <si>
    <t>["405a0d29-0a62-45a7-a4d4-56c28e3255ab"]</t>
  </si>
  <si>
    <t>3b30087e-8454-4706-b649-a924660d64ff</t>
  </si>
  <si>
    <t>viennatransport-api</t>
  </si>
  <si>
    <t>ViennaTransport API</t>
  </si>
  <si>
    <t xml:space="preserve">**API für Abfahrtszeiten und Geodaten der Wiener Linien**_x000D_
  _x000D_
  _x000D_
_x000D_
**Einfach Abfahrtszeiten und Geodaten abfragen – unter vtapi.floscodes.net/monitor**_x000D_
  _x000D_
  _x000D_
_x000D_
**Beispiel:** [vtapi.floscodes.net/monitor/?line=14A&amp;station=Keplerplatz&amp;towards=Reumannplatz](http://vtapi.floscodes.net/monitor/?line=14A&amp;station=Keplerplatz&amp;towards=Reumannplatz)  _x000D_
_x000D_
**Linie abfragen:** &amp;line=14A  _x000D_
_x000D_
**Station abfragen:** &amp;station=Keplerplatz  _x000D_
_x000D_
**Richtung abfragen:** &amp;towards=Reumannplatz  _x000D_
_x000D_
  _x000D_
  _x000D_
_x000D_
**Abfahrt in Minuten abfragen: &amp;countdown anhängen**  _x000D_
_x000D_
**Beispiel:** [vtapi.floscodes.net/monitor/?line=14A&amp;station=Keplerplatz&amp;towards=Reumannplatz&amp;countdown](http://vtapi.floscodes.net/monitor/?line=14A&amp;station=Keplerplatz&amp;towards=Reumannplatz&amp;countdown)_x000D_
  _x000D_
  _x000D_
_x000D_
**Geodaten von Station abfragen: &amp;geodata anhängen**  _x000D_
_x000D_
**Beispiel:** [vtapi.floscodes.net/monitor/?line=14A&amp;station=Keplerplatz&amp;towards=Reumannplatz&amp;geodata](http://vtapi.floscodes.net/monitor/?line=14A&amp;station=Keplerplatz&amp;towards=Reumannplatz&amp;geodata)_x000D_
</t>
  </si>
  <si>
    <t>2024-06-11 06:14:50.172812</t>
  </si>
  <si>
    <t>b53e6f6d-94dd-4101-a480-8d3bc012b18b</t>
  </si>
  <si>
    <t>sozialmaerkte-wien-2</t>
  </si>
  <si>
    <t>Sozialmärkte Wien</t>
  </si>
  <si>
    <t>Diese App ist eine große Hilfe den nächsten Sozialmarkt in Wien zu finden. Durch den Einsatz von GPS wird die aktuelle Position erkannt und es sollte kein Problem sein bald bald dort zu sein._x000D_
_x000D_
Daten basieren auf Open Government Data Wien [http://data.wien.gv.at/](https://www.data.gv.at/auftritte/?organisation=stadt-wien)</t>
  </si>
  <si>
    <t>2024-06-11 06:14:34.839671</t>
  </si>
  <si>
    <t>["c7e84d16-449e-4154-a1bd-603b4fae329e"]</t>
  </si>
  <si>
    <t>4906cb00-f854-44e6-bd90-744cc2111887</t>
  </si>
  <si>
    <t>wandelpad</t>
  </si>
  <si>
    <t>Wandelpad</t>
  </si>
  <si>
    <t>WandelPAD ist ein interaktives Dashboard, um Zuzüge und Abzüge der Bevölkerung der Stadt Wien zu explorieren._x000D_
_x000D_
[Download des zugehöriges Paper](http://vda.univie.ac.at/Teaching/Vis/15s/final_reports/team_7.pdf)</t>
  </si>
  <si>
    <t>2024-06-11 06:14:41.72449</t>
  </si>
  <si>
    <t>["3b1a5a2b-72fb-430d-bd82-14bcfc3338a1"]</t>
  </si>
  <si>
    <t>cddc4437-c250-41a2-9d6d-07dbc292a54c</t>
  </si>
  <si>
    <t>amtliches-covid-19-dashboard-des-bmsgpk</t>
  </si>
  <si>
    <t>Amtliches COVID-19 Dashboard des BMSGPK/AGES</t>
  </si>
  <si>
    <t>2024-06-11 06:14:44.175803</t>
  </si>
  <si>
    <t>["846448a5-a26e-4297-ac08-ad7040af20f1", "3765ed62-0f9d-49ad-83b0-1405ed833108", "2f6649b6-2b2d-49a9-ab31-6c7e43728001", "ef8e980b-9644-45d8-b0e9-c6aaf0eff0c0", "4b71eb3d-7d55-4967-b80d-91a3f220b60c"]</t>
  </si>
  <si>
    <t>cc294614-94df-4978-a5fc-cce881a7bc27</t>
  </si>
  <si>
    <t>rollraus-at</t>
  </si>
  <si>
    <t>RollRaus.at</t>
  </si>
  <si>
    <t>RollRaus ist eine Sammlung von Wanderwegen, jedoch nicht nur für Menschen im Rollstuhl, sondern auch für Familien mit Kinderwägen. Benutzer können nach einer Registrierung die Wanderwege bearbeiten, indem sie markante Punkte, wie z.B. Schranken, Pfosten, Restaurants etc. eintragen. Alle Wanderwege können natürlich kommentiert und bewertet werden._x000D_
_x000D_
Durch das digitale Geländemodell wird der Höhenverlauf des Weges dargestellt. Die Daten und Routen für die Wanderwege basieren auf der OpenStreetMap._x000D_
_x000D_
Die jetzige Form von RollRaus soll die Möglichkeiten für eine Plattform mit barrierefreien Wanderwegen aufzeigen. Auf Basis des Feedbacks der NutzerInnen wird die Anwendung in Zukunft angepasst und erweitert._x000D_
_x000D_
Die Applikation “RollRaus” wurde von den StudentInnen Eva Mair, Gabriel Freinbichler, Julia Eder und Martina Kremsmayr im Rahmen der Lehrveranstaltung „IT-Projekt für Wirtschaftsinformatik WS 2013/14“ am Institut für Wirtschaftsinformatik – Software Engineering an der Johannes Kepler Universität Linz erstellt.</t>
  </si>
  <si>
    <t>2024-06-11 06:14:35.549058</t>
  </si>
  <si>
    <t>d18b15c2-2fbe-49bf-acf6-9bbd68603783</t>
  </si>
  <si>
    <t>free-maps</t>
  </si>
  <si>
    <t>Free Maps</t>
  </si>
  <si>
    <t>Auf der [verlinkten Webseite](https://www.egger-gis.at/free-maps/) finden Sie kostenlose Downloadlinks zu PDF-Postern (meist Format A1 - QUER) ausgewählter Gebiete Tirols zum Selbstausdrucken in voller Auflösung._x000D_
_x000D_
Der Hauptfokus dieser Karten sind raumzeitliche Gegenüberstellungen, welcher die Siedlungsentwicklung über mehrere Jahrzehnte sehr anschaulich und einfach verständlich darstellt.</t>
  </si>
  <si>
    <t>2024-06-11 06:14:41.798018</t>
  </si>
  <si>
    <t>["35691b6c-9ed7-4517-b4b3-688b0569729a", "51bdc6dc-25ae-41de-b8f3-938f9056af62"]</t>
  </si>
  <si>
    <t>efb5c10a-dad4-4a2d-a9a3-4f944f09776d</t>
  </si>
  <si>
    <t>magicmirror-wiener-linien</t>
  </si>
  <si>
    <t>MagicMirror Wiener Linien</t>
  </si>
  <si>
    <t>[MagicMirror](https://github.com/MichMich/MagicMirror) Spiegelanwendung für den Eigengebrauch - zeigt die Abfahrtsdaten von Stationen der Wiener Linien.</t>
  </si>
  <si>
    <t>2024-06-11 06:14:41.866249</t>
  </si>
  <si>
    <t>["21fca925-12ac-4215-ba1a-a9c73cb3b082", "522d3045-0b37-48d0-b868-57c99726b1c4"]</t>
  </si>
  <si>
    <t>cd518854-05f1-42b1-a413-77cb9530f523</t>
  </si>
  <si>
    <t>trekkingtrails-de</t>
  </si>
  <si>
    <t>TrekkingTrails.de</t>
  </si>
  <si>
    <t xml:space="preserve">Trekking- und Hüttentouren mit Karten, GPX-Tracks, Tourbeschreibungen, Bildern und Erfahrungen. </t>
  </si>
  <si>
    <t>2024-06-11 06:14:42.030996</t>
  </si>
  <si>
    <t>a0099817-6f29-4768-8653-58c9218b2c8e</t>
  </si>
  <si>
    <t>covid-19-weathermap</t>
  </si>
  <si>
    <t>COVID-19-WeatherMap</t>
  </si>
  <si>
    <t>Analyse und Visualisierung der COVID-19 Daten der AGES. Aktuelle Lage in Österreich und den Bundesländern in Form einer Wetterkarte mit Tendenz und Prognose. Interaktive Berechnung der Prognose. Gesetzmäßigkeit des exponentiellen Wachstums anhand der Inzidenz. Analyse der Ausbreitungsgeschwindigkeit auf Bezirksebene. Rückblick auf die Entwicklung in 2020 mit Bewertung.</t>
  </si>
  <si>
    <t>2024-06-11 06:14:46.397996</t>
  </si>
  <si>
    <t>["2f6649b6-2b2d-49a9-ab31-6c7e43728001", "ef8e980b-9644-45d8-b0e9-c6aaf0eff0c0", "846448a5-a26e-4297-ac08-ad7040af20f1"]</t>
  </si>
  <si>
    <t>434ceaa0-1ec7-46ab-9ce2-6009123474f4</t>
  </si>
  <si>
    <t>similio</t>
  </si>
  <si>
    <t>Similio</t>
  </si>
  <si>
    <t>Similio ist eine österreichische Internetplattform, die Geographie, Statistik, Themen und Point of Interests verbindet. Sämtliche Informationen werden in den unterschiedlichsten Granulierungen dargestellt und mittels Karten visualisiert. Tausende interaktive Karten ermöglichen neue Erkenntnisse über Österreich, die Bundesländer, Regionen, Landschaften, Bezirke und Gemeinden.</t>
  </si>
  <si>
    <t>2024-06-11 06:14:42.161389</t>
  </si>
  <si>
    <t>cdb50c3b-1b3c-435c-a487-6d31944c5f0c</t>
  </si>
  <si>
    <t>wanderlust</t>
  </si>
  <si>
    <t>Wanderlust</t>
  </si>
  <si>
    <t>Wanderlust verwendet offene Daten der Stadt Wien und bietet die Wanderwege als einzelne GeoJSON und GPX-Dateien an.</t>
  </si>
  <si>
    <t>2024-06-11 06:14:43.489307</t>
  </si>
  <si>
    <t>cc8c5ca7-23e9-466d-9b98-9a707a62d5b1</t>
  </si>
  <si>
    <t>covid-19-schutzimpfungen-in-oesterreich</t>
  </si>
  <si>
    <t>COVID-19 Schutzimpfungen in Österreich</t>
  </si>
  <si>
    <t>Impfdaten auf Gemeindeebene, Impfquote nach Altersgruppen, Zeitverlauf der Impfungen nach Impfdosis, Impfstatus nach demographischen Gruppen sowie Verteilung der zur Impfung eingesetzten Impfstoffe für Österreich und seine Bundesländer</t>
  </si>
  <si>
    <t>2024-06-11 06:14:50.04602</t>
  </si>
  <si>
    <t>7bd03b2e-8891-4430-a371-1403a5b4a5eb</t>
  </si>
  <si>
    <t>wolfis-trip</t>
  </si>
  <si>
    <t>Wolfi's Trip</t>
  </si>
  <si>
    <t>“Wolfi’s Trip” ist eine Desktop-Applikation in der Touristen eine automatisierte Routen-/Programplanung auf Basis der individuellen Interessen erstellt werden soll. Hierbei sollen von Usern Attribute wie z.B. Beruf, Freizeitinteressen (Kunst, Kultur usw.), Vorlieben zu Essen und mehr (dies ist noch nicht fixiert)  eingegeben werden. Die Idee ist, dass die Applikation resultierend daraus einen maßgeschneiderten Aufenthaltsplan erstellt.</t>
  </si>
  <si>
    <t>2024-06-11 06:14:43.380904</t>
  </si>
  <si>
    <t>["f365dfc2-6d70-4725-a6e0-a5e478c1f79f", "f4e80988-c139-4953-8176-b3d6d03f6449", "f7bd721a-1f72-4bef-a38c-792f59cc8fe3", "6f412521-2e9b-44b1-a3e4-8f1358caef63"]</t>
  </si>
  <si>
    <t>2bea09cd-f258-41b0-acdc-183f6a3c474b</t>
  </si>
  <si>
    <t>palm-4u-modell-fuer-wien</t>
  </si>
  <si>
    <t>PALM-4U-Modell für Wien</t>
  </si>
  <si>
    <t>Anwendung des Stadtklimamodells PALM-4U zur Untersuchung der Hitzebelastung in der Stadt Wien.</t>
  </si>
  <si>
    <t>2024-06-11 06:14:43.657366</t>
  </si>
  <si>
    <t>["c91a4635-8b7d-43fe-9b27-d95dec8392a7", "214a3e63-31aa-47de-a49c-5ea5a80330ed"]</t>
  </si>
  <si>
    <t>5f42e7e0-3baa-4718-90d1-bb39186d6822</t>
  </si>
  <si>
    <t>immospotter-at</t>
  </si>
  <si>
    <t>Immospotter.at</t>
  </si>
  <si>
    <t>Immospotter.at ist eine Immobiliensuche für den österreichischen Markt. Durch neue Ideen &amp; innovative Funktionen möchten wir in Zukunft die Immobiliensuche vereinfachen und so komfortabel wie möglich gestalten._x000D_
_x000D_
Aktuell (Jänner 2021) wurde der MVP veröffentlicht. Das Inventar &amp; der Funktionsumfang werden stets erweitert, vorbeischauen lohnt sich.</t>
  </si>
  <si>
    <t>2024-06-11 06:14:45.160926</t>
  </si>
  <si>
    <t>["2ee6b8bf-6292-413c-bb8b-bd22dbb2ad4b"]</t>
  </si>
  <si>
    <t>2ec087a6-02b1-4125-b518-06360b7f0e34</t>
  </si>
  <si>
    <t>wiener-baeder-ampel-alexa-skill</t>
  </si>
  <si>
    <t>Wiener Bäder Ampel - Alexa Skill</t>
  </si>
  <si>
    <t>Mit dem Sprachskill beantwortet dir Alexa den Status eines bestimmten Schwimmbades oder gibt dir den Status aller Wiener Bäder wieder._x000D_
_x000D_
Der Skill ist als Proof-of-Conzept bereits erstellt und abrufbar unter unten angegebenen Link._x000D_
_x000D_
z.B.: Alexa, frag Wiener Bäder nach dem Status Ottakringerbad.</t>
  </si>
  <si>
    <t>2024-06-11 06:14:43.26574</t>
  </si>
  <si>
    <t>35e63cac-f4aa-40b2-bdb7-cf5252b2030d</t>
  </si>
  <si>
    <t>polizei-standorte-wien</t>
  </si>
  <si>
    <t>Polizei Standorte Wien</t>
  </si>
  <si>
    <t xml:space="preserve">* Der bisher seitens der Stadt Wien publizierte OGD Datensatz bezieht nun die Daten vom bundesweiten Referenzdatensatz. Die Aktualisierung erfolgt täglich, alle Attribute werden zukünftig in den Datensatz der Stadt Wien  übernommen. Zusätzlich werden die Attribute *Adresse* (Kombination aus den Attributen Ort, Straße, Hausnummer) sowie *Weblink* (welcher auf polizei.gv.at zeigt) ergänzt._x000D_
* Da die Stadt Wien neben den seitens des BMI angebotenem CSV und ESRI Shapeformat zusätzlich ein API anbietet, welches on-the-fly wichtige für Geo-Applikationen benötigte Formate als Online-Webservice-Schnittstelle anbietet, können weitere Formate und Online-Schnittstellen über den [Polizei Standorte Wien](https://www.data.gv.at/katalog/dataset/298e6b5a-21a8-4d56-9484-1bac58c94a26) bezogen werden können._x000D_
</t>
  </si>
  <si>
    <t>2024-06-11 06:14:42.754508</t>
  </si>
  <si>
    <t>["4e5c9414-2886-462e-b19f-a598ad065522"]</t>
  </si>
  <si>
    <t>241fa56f-df13-4f09-ab84-f664858d142a</t>
  </si>
  <si>
    <t>covid-19-visualisierungen</t>
  </si>
  <si>
    <t>Covid-19 Visualisierungen</t>
  </si>
  <si>
    <t>Basierend auf den Daten vom BMSGPK wurden verschiedenste Parameter errechnet und diese visuell in interaktiven Diagrammen dargestellt.</t>
  </si>
  <si>
    <t>2024-06-11 06:14:45.257153</t>
  </si>
  <si>
    <t>3dee85e4-d235-4fe9-9412-7f6e66b67cda</t>
  </si>
  <si>
    <t>e-control-ladestellenverzeichnis</t>
  </si>
  <si>
    <t>E-Control Ladestellenverzeichnis</t>
  </si>
  <si>
    <t>Im Ladestellenverzeichnis der E-Control können Sie sich zu einem bestimmten Standort die nächstgelegenen zehn öffentlichen Stromladestellen anzeigen lassen. Die Ladestellen erscheinen auf einer Karte und in einer Liste, wo sie jeweils nach Entfernung (Luftlinie) zum Suchpunkt aufgelistet sortiert angezeigt werden._x000D_
_x000D_
Durch Verschieben der Karte können Sie auch die Anzeige von Ladestellen bewegen und so zum Beispiel entlang einer Strecke nach Ladestellen suchen. Am Ende der Listendarstellung können Sie durch Klick auf das Pfeilsymbol jeweils zehn weitere Ladestellen anzeigen lassen._x000D_
_x000D_
Außerdem zeigt das E-Control Ladestellenverzeichnis zu jeder Ladestelle und den dort vorhandenen Ladepunkten weitere Informationen, wie Steckertypen, Ladeleistung, Zahlungsoptionen etc._x000D_
_x000D_
Für die Suchabfrage empfiehlt es sich den Ausgangspunkt der Suche möglichst genau mit Eingabe von Straße und Ort festzulegen. Sie können allerdings auch nur einen Ort eingeben. In dem Fall wird für die Suche der Ortsmittelpunkt als Ausgangspunkt angenommen.</t>
  </si>
  <si>
    <t>2024-06-11 06:14:43.591054</t>
  </si>
  <si>
    <t>["2c54f4d6-5712-4e5a-a025-b7f7a396c39b", "ef680c5f-fa70-4719-8253-e3a5fe5f9355"]</t>
  </si>
  <si>
    <t>5fc40698-fad6-4f1b-bae4-b90bbc686190</t>
  </si>
  <si>
    <t>covid-19-genesene-erkrankte-verstorbene</t>
  </si>
  <si>
    <t>Covid-19 - Genesene, Erkrankte &amp; Verstorbene</t>
  </si>
  <si>
    <t>Die Karte zeigt die Entwicklung der Fälle von Covid-19 auf Bundesländerebene in Österreich seit 8. März 2020. Dabei wird zwischen aktiven Fällen, wieder gesunden Personen und Verstorbenen unterschieden.</t>
  </si>
  <si>
    <t>2024-06-11 06:14:45.463066</t>
  </si>
  <si>
    <t>1b5cc8b4-1620-4ada-a74f-a2f9d63d09b9</t>
  </si>
  <si>
    <t>laketheory</t>
  </si>
  <si>
    <t>Laketheory</t>
  </si>
  <si>
    <t>Laketheory erstellt ein Ranking der Kärntner Badeseen anhand von aktuellen Daten wie Wassertemperatur, Lufttemperatur und Wetter und zeigt die Daten visuell ansprechend und übersichtlich an. So kann man immer schnell den besten Badesee finden.</t>
  </si>
  <si>
    <t>2024-06-11 06:14:42.89141</t>
  </si>
  <si>
    <t>["e454bf6a-3321-4a86-998a-af61123eb056"]</t>
  </si>
  <si>
    <t>98fafb76-bb41-44ab-9ca2-5f1f8c2aff96</t>
  </si>
  <si>
    <t>elasticsearch-wiener-linien-data</t>
  </si>
  <si>
    <t>Elasticsearch &amp; Wiener Linien Data</t>
  </si>
  <si>
    <t>Analyse und Design einer Architektur basierend auf Elasticsearch und Kibana zur Aufbereitung und Visualisierung von Fast-Echtzeit Daten</t>
  </si>
  <si>
    <t>2024-06-11 06:14:36.006647</t>
  </si>
  <si>
    <t>eacb0cf4-3eeb-4847-854d-5c102015784d</t>
  </si>
  <si>
    <t>covid-19-austria</t>
  </si>
  <si>
    <t>covid-19 Austria</t>
  </si>
  <si>
    <t>Visualisierung von Daten über die Ausbreitung des Coronavirus in Österreich nach Bundesland</t>
  </si>
  <si>
    <t>2024-06-11 06:14:45.760836</t>
  </si>
  <si>
    <t>["ef8e980b-9644-45d8-b0e9-c6aaf0eff0c0", "4b71eb3d-7d55-4967-b80d-91a3f220b60c", "2f6649b6-2b2d-49a9-ab31-6c7e43728001"]</t>
  </si>
  <si>
    <t>a8217501-daca-4edf-8318-b53eba3888d1</t>
  </si>
  <si>
    <t>covid-hallofreunde</t>
  </si>
  <si>
    <t>COVID.hallofreunde</t>
  </si>
  <si>
    <t>Ein einfaches COVID-19 Dashboard für Österreich. Bietet übersichtliche und mobil-freundliche Darstellung von Tagestrends.</t>
  </si>
  <si>
    <t>2024-06-11 06:14:45.827181</t>
  </si>
  <si>
    <t>["3765ed62-0f9d-49ad-83b0-1405ed833108"]</t>
  </si>
  <si>
    <t>bf6724d7-4a65-44df-ab3c-f8e85043cb87</t>
  </si>
  <si>
    <t>digitale-bodenkarte-ebod</t>
  </si>
  <si>
    <t>Digitale Bodenkarte (eBOD)</t>
  </si>
  <si>
    <t>Digitale Internetkarte der landwirtschaftlichen Bodenkartierung von Österreich</t>
  </si>
  <si>
    <t>2024-06-11 06:14:36.037807</t>
  </si>
  <si>
    <t>4c39f816-dc04-43f7-b99a-9523e76ea7b0</t>
  </si>
  <si>
    <t>schichos-mobile-corona-ampel</t>
  </si>
  <si>
    <t>Schicho's Mobile Corona Ampel</t>
  </si>
  <si>
    <t>Eine Mobile freundliche Website die auf die open data Schnittstelle der Corona Ampel zugreift.</t>
  </si>
  <si>
    <t>2024-06-11 06:14:43.983684</t>
  </si>
  <si>
    <t>["52abfc2b-031c-4875-b838-653abbfccf4e"]</t>
  </si>
  <si>
    <t>d9132565-5b85-4ada-a1dc-0b90f8b587cb</t>
  </si>
  <si>
    <t>covid-19-anzahl-der-personen-positiv-getestet</t>
  </si>
  <si>
    <t>Covid 19 - Anzahl der Personen positiv getestet</t>
  </si>
  <si>
    <t>SARS-CoV2 Fälle der vergangenen 14 Tage pro 10.000 Einwohner/innen und neue identifizierte Fälle von bestätigter SARS-CoV2 Infektion in Österreich, Tschechien und Slowakei.</t>
  </si>
  <si>
    <t>2024-06-11 06:14:44.542931</t>
  </si>
  <si>
    <t>f8701008-0d61-4d38-89df-da2ec1127dcf</t>
  </si>
  <si>
    <t>rechteasy-at</t>
  </si>
  <si>
    <t>RechtEasy.at</t>
  </si>
  <si>
    <t>RechtEasy.at ist mit über 6000 Rechtsbegriffen das größte kostenlose juristische Nachschlagewerk Österreichs. Zusätzlich gibt es eine Suchmaschine für Bundesgesetze._x000D_
_x000D_
Dabei sucht es sowohl nach Titel, als auch nach Volltexten, einzelnen Paragrafen oder gesamten Gesetzen.</t>
  </si>
  <si>
    <t>2024-06-11 06:14:50.960332</t>
  </si>
  <si>
    <t>697bde21-4295-4daf-a579-e21f5bcd8423</t>
  </si>
  <si>
    <t>muell-checker</t>
  </si>
  <si>
    <t>Müll-Checker</t>
  </si>
  <si>
    <t>Die App unterstützt beim richtigen Trennen von Müll und zeigt auch, wie Sie auf diesem Wege Geld sparen können: Denn in Salzburg tritt eine neue Müllgebührenverordnung in Kraft, die Abfalltrennung und -vermeidung – im Gegensatz zum aktuellen Modell – finanziell belohnen wird._x000D_
_x000D_
Mit dem Müll 1x1 entdecken Sie, wie Sie Tonnengrößen und Abholintervalle verändern und zusammen mit besserem Trennverhalten Geld sparen können._x000D_
Spielen Sie mit dem Müll 1x1 doch einmal verschiedene Szenarien durch und rechnen Sie sich aus, wie viel Sie mit der neuen Gebührenverordnung sparen können._x000D_
_x000D_
Darüber hinaus finden Sie über den Müll-Checker alle Sammelstellen in Ihrer Nähe: Nach Eingabe Ihrer Adresse zeigt die App gleich die nächstgelegenen Container an._x000D_
_x000D_
Dank automatischer Terminerinnerungen im Müll-Checker verpassen Sie außerdem keinen Abfuhrtermin für Restmüll, Bioabfall und den Gelben Sack.</t>
  </si>
  <si>
    <t>2024-06-11 06:14:35.842232</t>
  </si>
  <si>
    <t>["3810778f-f3ad-4032-9df7-dadaa8dd9726"]</t>
  </si>
  <si>
    <t>2349e71f-f55b-4fbb-91a1-e66819e12731</t>
  </si>
  <si>
    <t>covid-19-tracker-austria</t>
  </si>
  <si>
    <t>COVID-19 Tracker Austria</t>
  </si>
  <si>
    <t>Dashboard and analysis of the COVID-19 information for Austria based on public data.</t>
  </si>
  <si>
    <t>2024-06-11 06:14:45.536653</t>
  </si>
  <si>
    <t>5e805068-244a-49c8-813b-908bf346a040</t>
  </si>
  <si>
    <t>dashboard-covid-19-in-oesterreich</t>
  </si>
  <si>
    <t>Dashboard COVID-19 in Österreich</t>
  </si>
  <si>
    <t>Auf Basis der vom Gesundheitsministerium veröffentlichten Daten wurde dieses Dashboard entwickelt. Darin enthalten sind zahlreiche grafisch aufbereitete Auswertungen.</t>
  </si>
  <si>
    <t>2024-06-11 06:14:44.376615</t>
  </si>
  <si>
    <t>3bdf76de-1eba-48ba-ad6f-9077cc350ad0</t>
  </si>
  <si>
    <t>covid-19-grafik-plattform-oesterreich</t>
  </si>
  <si>
    <t>COVID-19 Grafik Plattform Österreich</t>
  </si>
  <si>
    <t>Schau auf Dich – schau auf mich – unter diesem Motto stellt die Grazer simon consulting gmbh eine kostenlose COVID-19 Grafik-Plattform zur Verfügung. Über die Website können Interessierte praktisch alle österreichischen Daten zum Pandemiegeschehen nach eigenen Kriterien grafisch aufbereiten und unterschiedliche Daten visuell miteinander vergleichen.</t>
  </si>
  <si>
    <t>2024-06-11 06:14:44.733342</t>
  </si>
  <si>
    <t>["4b71eb3d-7d55-4967-b80d-91a3f220b60c", "846448a5-a26e-4297-ac08-ad7040af20f1", "d3b85461-fc0d-3639-9aa9-39211c4ecade"]</t>
  </si>
  <si>
    <t>f79bbb6f-a351-4ad7-bdd1-50f0410733d4</t>
  </si>
  <si>
    <t>covid-19-spike-map-der-faelle-bezirk</t>
  </si>
  <si>
    <t>Covid-19: Spike map der Fälle/Bezirk</t>
  </si>
  <si>
    <t>Die Karte zeigt die 7-Tages-Inzidenz der bestätigten Fälle von Covid-19 in den österreichischen Bezirken tageweise seit Vorliegen der Daten (26.02.2020) und setzt sie ins Verhältnis zu den politischen Zielvorgaben.</t>
  </si>
  <si>
    <t>2024-06-11 06:14:44.905719</t>
  </si>
  <si>
    <t>725eb125-47b2-41ba-93bb-5bebc7c5084d</t>
  </si>
  <si>
    <t>coronavirus-oesterreich</t>
  </si>
  <si>
    <t>Coronavirus - Österreich</t>
  </si>
  <si>
    <t>Coronavirus - Österreich ist ein Dashboard zur Visualisierung verschiedenster Corona-Daten. Neben einer allgemeinen Übersicht über die aktuellen Zahlen, werden weiter Daten in Form einer interaktiven Karte, einer Epidemiologische Kurve und weiteren Grafiken dargestellt.</t>
  </si>
  <si>
    <t>2024-06-11 06:14:45.399012</t>
  </si>
  <si>
    <t>93a942bb-3a39-42ee-a8ff-caeccce59fa6</t>
  </si>
  <si>
    <t>pkw-zulassungen</t>
  </si>
  <si>
    <t>PKW-Zulassungen</t>
  </si>
  <si>
    <t>Anzeige der Zulassungen von Neu- und Gebrauchtwägen seit 2000. Auswahl der Grafikanzeige oder auch Entwicklersicht zum Selbst Erstellen. Dies soll einen ungefähren Trend der Zulassungen per Marke zeigen._x000D_
_x000D_
Darstellung wird statisch aus einer anderen Anwendung generiert (siehe Aktualisiert in der linken oberen Seite)</t>
  </si>
  <si>
    <t>2024-06-11 06:14:43.721142</t>
  </si>
  <si>
    <t>["6fc1c927-bf21-3d72-9333-a9055493ab3c", "1446c895-cd1f-3ed4-8dd2-66fee300c16e"]</t>
  </si>
  <si>
    <t>1bad31d8-1a0e-4d57-a9fc-389add1a8e99</t>
  </si>
  <si>
    <t>atenas</t>
  </si>
  <si>
    <t>Atenas</t>
  </si>
  <si>
    <t>App, die die Corona Ampel Warn-Signale für frei konfigurierbare Bezirke anzeigt. Sie ist für Mitarbeiter in der Gastronomie und Hotellerie gedacht und bietet für diese erweiterte Funktionalitäten, wie z.B. Dienstpläne oder Abwesenheitsanträge. Voraussetzung für die Verwendung der erweiterten Funktionalitäten ist ein Dienstverhältnis bei einem Betrieb, der Kunde der HGC Group ist.</t>
  </si>
  <si>
    <t>2024-06-11 06:14:44.111634</t>
  </si>
  <si>
    <t>7d8a981a-5a8d-4a72-a57c-a3a708d1138b</t>
  </si>
  <si>
    <t>coceso-coordination-center-software</t>
  </si>
  <si>
    <t>CoCeSo - Coordination Center Software</t>
  </si>
  <si>
    <t>CoCeSo ist ein webbasiertes Einsatzleitsystem für Ambulanzen bei Großveranstaltungen. Das Projekt wurde im Wiener Roten Kreuz entwickelt, um plattformunabhängig Einsätze abwickeln zu können. Die Planung und Umsetzung wurde durch ehrenamtliche Mitarbeiter durchgeführt, und der Source Code steht unter MIT Lizenz zur Verfügung._x000D_
Die Hauptaufgaben der Software bestehen aus der Verwaltung von Einheiten, der Abwicklung von Einsätzen und der Dokumentation von Einsätzen. Mittels Modulen können Anbindungen an Funkgeräte, Geoserver und Mitarbeiterdatenbanken verwendet werden._x000D_
Die integrierte Lagekarte verwendet das Kartenmaterial der basemap.at. Zusätzlich können weitere Layer darübergelegt werden, wie zum Beispiel Rasterpläne von Veranstaltungen.</t>
  </si>
  <si>
    <t>2024-06-11 06:14:36.640019</t>
  </si>
  <si>
    <t>c409058d-01a3-4d32-a286-59b690c5d5e0</t>
  </si>
  <si>
    <t>coronavirus-in-oesterreich-daten-und-karten-auf-orf-at</t>
  </si>
  <si>
    <t>Coronavirus in Österreich: Daten und Karten auf ORF.at</t>
  </si>
  <si>
    <t>Übersichtsseite des ORF mit Daten und Karten zur Entwicklung der Covid-19-Epidemie in Österreich. Die aktuellen Daten zu Österreich speisen sich aus den offenen Daten des offiziellen Dashboard des Gesundheitsministeriums unter info.gesundheitsministerium.at.</t>
  </si>
  <si>
    <t>2024-06-11 06:14:45.295573</t>
  </si>
  <si>
    <t>1f5b50c8-7bbe-4ab8-896d-05d8c91e28e1</t>
  </si>
  <si>
    <t>corona-ampel-des-sc-marchegg</t>
  </si>
  <si>
    <t>Corona-Ampel des SC Marchegg</t>
  </si>
  <si>
    <t>Auf den Seiten des Sportvereins wird den Besuchern der aktuelle Status der Corona-Ampel für sämtliche Orte, welche sich in der selben Spielklasse wie der SC Marchegg befinden, angezeigt.</t>
  </si>
  <si>
    <t>2024-06-11 06:14:44.143613</t>
  </si>
  <si>
    <t>bf70fc7f-68f8-4ea7-b4ff-83c075cb97a9</t>
  </si>
  <si>
    <t>fw-info</t>
  </si>
  <si>
    <t>FW-Info</t>
  </si>
  <si>
    <t>Die FW-Info App ist die Einsatz-App für alle Tiroler Feuerwehren. Die App wird bereitgestellt und weiterentwickelt vom Landesfeuerwehrverband Tirol. Diese App funktioniert NUR mit einer @feuerwehr.tirol E-Mail-Adresse und zeigt die Einsatzdaten für die jeweilige freigegebene Feuerwehr._x000D_
_x000D_
Es werden auch die aktuellen Pegelstände der Tiroler Flüsse angezeigt.</t>
  </si>
  <si>
    <t>2024-06-11 06:14:44.801042</t>
  </si>
  <si>
    <t>42921357-f1a6-445f-917a-a280a064f82e</t>
  </si>
  <si>
    <t>corona-ampel-darstellung</t>
  </si>
  <si>
    <t>Corona-Ampel Darstellung</t>
  </si>
  <si>
    <t>Darstellung der aktuellen Corona Ampelstufe auf Basis der Lokalisierung oder PLZ Eingabe</t>
  </si>
  <si>
    <t>2024-06-11 06:14:46.186984</t>
  </si>
  <si>
    <t>1e1a83f6-0b9d-4a02-9dc0-c0b97f2f393e</t>
  </si>
  <si>
    <t>ausreisetests-at</t>
  </si>
  <si>
    <t>Ausreisetests.at</t>
  </si>
  <si>
    <t>Interaktive Karte der Gebiete, die von der Corona-Ausreisetestpflicht betroffen sind.</t>
  </si>
  <si>
    <t>2024-06-11 06:14:48.460483</t>
  </si>
  <si>
    <t>["2c54f4d6-5712-4e5a-a025-b7f7a396c39b", "566c99be-b436-365e-af4f-27be6c536358"]</t>
  </si>
  <si>
    <t>34b5e20d-615a-4c4f-91f4-c36db206fd80</t>
  </si>
  <si>
    <t>virus-atlas-oesterreich</t>
  </si>
  <si>
    <t>Virus Atlas Österreich</t>
  </si>
  <si>
    <t>Seit dem Ausbruch der COVID-19 Pandemie werden vermehrt kartographische Darstellung verwendet, um die Ausbreitung des Virus darzustellen. Die allermeisten weisen jedoch kartographische Mängel auf, die zu einer missverständlichen Aussage der Darstellung führen und somit keinen Mehrwert bieten. Unser Ziel ist es, die zur Verfügung stehenden Daten kartographisch optimal zu verarbeiten und so dem Nutzer ein tieferes Verständnis der Sachlage zu vermitteln. Neben dem Hauptthema COVID-19 werden demographische Kennwerte sowie die Auswirkungen der Pandemie auf den Arbeitsmarkt mit mehreren Kartenserien gezeigt.</t>
  </si>
  <si>
    <t>2024-06-11 06:14:45.223851</t>
  </si>
  <si>
    <t>["52abfc2b-031c-4875-b838-653abbfccf4e", "4bd85183-cba6-3079-881d-45981f1f9f78"]</t>
  </si>
  <si>
    <t>af3703e3-8c05-4739-9d59-bbe6d581f24b</t>
  </si>
  <si>
    <t>lidovienna-stadtentwicklung-links-der-donau</t>
  </si>
  <si>
    <t>lidovienna - Stadtentwicklung links der Donau</t>
  </si>
  <si>
    <t>Wie hat sich Wien links der Donau seit 1938 baulich verändert? Und welchen Einfluss hat die Stadtplanung darauf gehabt? Diesen Fragen geht das Forschungsprojekt TRANS[form]DANUBIEN nach. Auf der interaktiven Projektwebsite kann man in mehrere „Planungsgeschichten“ eintauchen, historische mit aktuellen Luftbildern vergleichen und sich so ein Bild vom Wandel links der Donau machen. Was war vor der Donauinsel? Wie hat Kaisermühlen vor dem Krieg ausgesehen und was passiert gerade in der Seestadt Aspern? Zeitleisten und interaktive Karten illustrieren zudem die lange Entwicklungsgeschichte von Floridsdorf und Donaustadt und geben Einblick in die großen Planungen und Projekte für Transdanubien.</t>
  </si>
  <si>
    <t>2024-06-11 06:14:36.707995</t>
  </si>
  <si>
    <t>["b411c576-e81b-490b-9c5b-8ef36f4f542d", "d025f670-5719-417e-8750-07b9178e7d92", "eec2fb76-3b7b-4f64-a8d1-2f9778a57adb", "36a8b9e9-909e-4605-a7ba-686ee3e1b8bf", "2c54f4d6-5712-4e5a-a025-b7f7a396c39b"]</t>
  </si>
  <si>
    <t>c730ccdd-279c-4a5a-8d48-90ad78f0a02f</t>
  </si>
  <si>
    <t>corona-ampel-status-infotelefon</t>
  </si>
  <si>
    <t>Corona Ampel Status Infotelefon</t>
  </si>
  <si>
    <t>Die Corona Ampel ist derzeit in Österreich ein sehr intensiv diskutiertes Instrument, deren Intention eine einfache und klare Übersicht der aktuellen COVID Lage in Österreich ist._x000D_
_x000D_
Der Status dieser Ampel ist primär online via Internet verfügbar. Damit es auch einen "offline" Zugang zur Corona Ampel gibt, habe ich eine kleine Lösung erstellt, bei der man via Telefon den aktuellen Corona Ampel Status abfragen kann._x000D_
_x000D_
Dazu wählt man die Rufnummer: **+43 732 21 99 99 14 55**, anschließend wird man nach der vierstelligen Postleitzahl gefragt und sobald diese eingegeben ist, wird man über den aktuellen Status der Corona Ampel im angegebenen Bezirk informiert.</t>
  </si>
  <si>
    <t>2024-06-11 06:14:43.920128</t>
  </si>
  <si>
    <t>7ce52e7f-b9b4-4ad3-b4fc-4834edbd2d7c</t>
  </si>
  <si>
    <t>corona-information-bezirk-schwaz</t>
  </si>
  <si>
    <t>Corona Information Bezirk Schwaz</t>
  </si>
  <si>
    <t>Den Besuchern auf [www.sportnenner.at](http://www.sportnenner.at) und damit verwandte Seiten wird als Information die aktuelle Ampelfarbe des Bezirks Schwaz bereitgestellt.</t>
  </si>
  <si>
    <t>2024-06-11 06:14:44.080927</t>
  </si>
  <si>
    <t>4a215742-621d-4b2b-8733-c68e1369d793</t>
  </si>
  <si>
    <t>wahlsystem-in-wien</t>
  </si>
  <si>
    <t>Wahlsystem in Wien</t>
  </si>
  <si>
    <t>Die Visualisierung zeigt in mehreren Schritten, wie das Wahlsystem für die Wiener Gemeinderatswahl funktioniert und illustriert einige Details des Wahlrechts.</t>
  </si>
  <si>
    <t>2024-06-11 06:14:44.205618</t>
  </si>
  <si>
    <t>a3b4d792-68ac-4027-a3c7-b5d6c595277a</t>
  </si>
  <si>
    <t>ladezonen-wien-app</t>
  </si>
  <si>
    <t>Ladezonen Wien App</t>
  </si>
  <si>
    <t>Für App-Nutzer stehen 2600 Ladezonen innerhalb des Wirtschaftsstandorts Wien zur Verfügung um Liefer- und Ladetätigkeit durchzuführen._x000D_
_x000D_
Die Wirtschaftskammer Wien stellt sowohl ihren Mitgliedern für den täglichen Wirtschaftsverkehr als auch jedem interessierten und potenziellen Nutzer diese App kostenlos zur Verfügung._x000D_
_x000D_
Nutzer ersparen sich und der Umwelt unnötige Suchfahrten, Zeit und Spritkosten._x000D_
_x000D_
Mittels einer interaktiven Karte finden Nutzer die geeignete Ladezone für ihre Liefertätigkeit und ihren Fahrzeugtyp. Filter- und Merkfunktion vereinfachen die rasche Auswahl aus derzeit rund 2600 regelmäßig aktualisierten Ladezonen in ganz Wien._x000D_
_x000D_
Ladezonen werden mitttels der Open Data Schnittstelle der Stadt Wien täglich aktuell gehalten.</t>
  </si>
  <si>
    <t>2024-06-11 06:14:38.059341</t>
  </si>
  <si>
    <t>["25267974-6d44-455e-b76f-248e29ff7df7"]</t>
  </si>
  <si>
    <t>b616f40b-958e-49b9-937e-0fccf5f63064</t>
  </si>
  <si>
    <t>transitart-2</t>
  </si>
  <si>
    <t>TransitArt</t>
  </si>
  <si>
    <t xml:space="preserve">We, in Inovatica, thought that there is a need to build fast, easy and available tools which consumes the GTFS format and presents routes, schedules and moreover make trip planning possible. So, we have decided to build such tools and named TransitArt. The underpinning idea is that everyone shall be able to use these tools in couple of minutes, the same way, as the Google make their maps available to millions of websites around the world.  The output of these idea are following components:_x000D_
* routes &amp; schedules,_x000D_
* trip planner,_x000D_
* trip planner for the disabled,_x000D_
* mobile apps SDK._x000D_
</t>
  </si>
  <si>
    <t>2024-06-11 06:14:36.879739</t>
  </si>
  <si>
    <t>b9992669-4a51-44fc-bfb6-4f9b4e6399d1</t>
  </si>
  <si>
    <t>wie-weit</t>
  </si>
  <si>
    <t>Wie Weit?</t>
  </si>
  <si>
    <t>Wie weit kommt man innerhalb von 30 Minuten mit den öffentlichen Verkehrsmitteln der Wiener Linien und ÖBB?_x000D_
_x000D_
Basierend auf ÖBB und Wiener Linien Open GTFS Data</t>
  </si>
  <si>
    <t>2024-06-11 06:14:50.271254</t>
  </si>
  <si>
    <t>["ab4a73b6-1c2d-42e1-b4d9-049e04889cf0", "2c54f4d6-5712-4e5a-a025-b7f7a396c39b", "919d40b2-031f-430e-bf6c-4183f6dc8b64"]</t>
  </si>
  <si>
    <t>b3c46ae3-d100-4cd5-b8fa-a3e0fc21e3c0</t>
  </si>
  <si>
    <t>wassertemperatur-at</t>
  </si>
  <si>
    <t>wassertemperatur.at</t>
  </si>
  <si>
    <t>Aktuelle Wassertemperatur der österreichischen Gewässer. Soweit eine Schnittstelle verfügbar ist.</t>
  </si>
  <si>
    <t>2024-06-11 06:14:52.168016</t>
  </si>
  <si>
    <t>["586e08a5-1ca6-400b-b2e2-dfd8fd3f429d"]</t>
  </si>
  <si>
    <t>473f9ed0-8bc4-4b6e-bd9a-9791dfb0bbb1</t>
  </si>
  <si>
    <t>imgraetzl-at</t>
  </si>
  <si>
    <t>imGrätzl.at</t>
  </si>
  <si>
    <t>Unser Ziel ist es, mit imGrätzl zur Stadtteilbelebung beizutragen und das Miteinander, lokales und kooperatives Wirtschaften im Stadtteil zu fördern und zu stärken._x000D_
_x000D_
Wir glauben an Gemeinschaft und daran, dass man zusammen mehr erreichen kann. Weg vom Einzelkämpfertum hin zu einem kooperativen WIR, als Lösung für viele Herausforderungen!_x000D_
_x000D_
Unser Augenmerk liegt dabei besonders auf den grätzlansässigen Wirtschaftstreibenden, Kreativen und Aktiven. Wir machen euch im Stadtteil sichtbar, betten euch in ein Netzwerk ein, das sich gegenseitig unterstützt und wir zeigen Wege auf, wie ihr lokal eure Kräfte bündeln könnt. BewohnerInnen wiederum möchten wir die ganze Vielfalt in ihrem Grätzl vor Augen führen und Lust drauf machen, die Menschen hinter den Angeboten kennenzulernen.</t>
  </si>
  <si>
    <t>2024-06-11 06:14:39.090436</t>
  </si>
  <si>
    <t>9ec22d51-8c9d-478c-bd6c-d00df3388776</t>
  </si>
  <si>
    <t>open-data-viewer-for-austria-wordpress-plugin</t>
  </si>
  <si>
    <t>Open Data Viewer for Austria - Wordpress Plugin</t>
  </si>
  <si>
    <t>Mit dem Wordpress-Plugin „Open Data Viewer for Austria“ können alle österreichischen Open Data Daten im Format CSV und JSON in jedem Wordpress-System dargestellt werden – als Tabelle, Bild oder Karte. Mit dem Wordpress-Plugin wird Open Data ein schöner Live-Bestandteil jeder Wordpress-Website._x000D_
_x000D_
Verwendete Datensätze:_x000D_
* alle CSV-Datensätze_x000D_
* alle JSON-Schittstellen_x000D_
* alle JSON-Datensätze_x000D_
_x000D_
_x000D_
Es können alle Datensätze im CSV-Format und im JSON-Format verarbeitet werden, die per URL erreichbar sind.</t>
  </si>
  <si>
    <t>2024-06-11 06:14:38.884395</t>
  </si>
  <si>
    <t>673ab238-d1e6-4f4e-844d-2f3d88af48c4</t>
  </si>
  <si>
    <t>population-dogs-in-vienna-by-district-2020</t>
  </si>
  <si>
    <t>Population: dogs in Vienna by district 2020</t>
  </si>
  <si>
    <t>Dogs in Vienna by district, part of #30DayMapChallenge, created by @[fleischkas](https://twitter.com/fleischkas)</t>
  </si>
  <si>
    <t>2024-06-11 06:14:44.637494</t>
  </si>
  <si>
    <t>a57afd59-1c38-4208-b100-0eff9ccf7e91</t>
  </si>
  <si>
    <t>apple-maps-integration-der-wiener-linien-gtfs-verkehrsdaten</t>
  </si>
  <si>
    <t>Apple Maps Integration der Wiener Linien GTFS Verkehrsdaten</t>
  </si>
  <si>
    <t>In Apple Karten werden bei Routen in Wien seit November 2020 auch Öffi-Verbindungen angezeigt.</t>
  </si>
  <si>
    <t>2024-06-11 06:14:45.129074</t>
  </si>
  <si>
    <t>9e800b28-fcc9-4cd9-b0dc-d6ec8e0d0667</t>
  </si>
  <si>
    <t>lab-at-covid-19-grafken</t>
  </si>
  <si>
    <t>lab.at COVID-19 Grafken</t>
  </si>
  <si>
    <t>Covid-19 Grafiken (aus den Daten von BMSGPK, BMI und AGES)</t>
  </si>
  <si>
    <t>2024-06-11 06:14:46.155445</t>
  </si>
  <si>
    <t>["2f6649b6-2b2d-49a9-ab31-6c7e43728001"]</t>
  </si>
  <si>
    <t>d4acf559-e513-4162-9160-88c7f53fb22d</t>
  </si>
  <si>
    <t>radwege-in-wien</t>
  </si>
  <si>
    <t>Radwege in Wien</t>
  </si>
  <si>
    <t>Visualisierung der Radfahranlagen in Wien</t>
  </si>
  <si>
    <t>2024-06-11 06:14:48.721769</t>
  </si>
  <si>
    <t>cc6e6c2e-a21a-445a-82c0-d30c80e81f94</t>
  </si>
  <si>
    <t>arriva-vienna</t>
  </si>
  <si>
    <t>arriva vienna</t>
  </si>
  <si>
    <t>Die App arriva vienna errechnet neben den aktuellen Wartezeiten in den Stationen der Wiener öffentlichen Verkehrsmittel auch als erste App die Positionen und zeigt diese an._x000D_
_x000D_
Achtung: Da die Position nur durch die unterschiedlichen Wartezeiten der einzelnen Stationen errechnet wird, kann es zu Ungenauigkeiten oder Fehlern in der Anzeige kommen.</t>
  </si>
  <si>
    <t>2024-06-11 06:14:49.947238</t>
  </si>
  <si>
    <t>7cfc6649-6318-4651-ab3b-701ceb973177</t>
  </si>
  <si>
    <t>covid19-prognose</t>
  </si>
  <si>
    <t>Covid19 Prognose</t>
  </si>
  <si>
    <t>Einfache Prognose der Covid19 Fälle in Österreich. Anhand der letzten Fallzahlen wird ein exponentieller Faktor geschätzt, mit dem dann extrapoliert wird.</t>
  </si>
  <si>
    <t>2024-06-11 06:14:46.220731</t>
  </si>
  <si>
    <t>bdd220c3-6e51-42f6-a80b-7eaa69790475</t>
  </si>
  <si>
    <t>linde-digital-gesetzgebung</t>
  </si>
  <si>
    <t>Linde Digital - Gesetzgebung</t>
  </si>
  <si>
    <t>Aktuelle Infos zur Gesetzgebung im digitalen Recherche-Portal des Linde Verlags</t>
  </si>
  <si>
    <t>2024-06-11 06:14:45.036479</t>
  </si>
  <si>
    <t>733859cc-b771-4f04-9d83-a7bce4e78262</t>
  </si>
  <si>
    <t>wiener-hofburg-3d-druck</t>
  </si>
  <si>
    <t>Wiener Hofburg 3D-Druck</t>
  </si>
  <si>
    <t>Daten des generalisierten Dachmodells (LOD2) der Stadt Wien mit einem 3D-Drucker ausgegeben und präsentiert.</t>
  </si>
  <si>
    <t>2024-06-11 06:14:44.281909</t>
  </si>
  <si>
    <t>["86d88cae-ad97-4476-bae5-73488a12776d"]</t>
  </si>
  <si>
    <t>023777c3-ef68-4b97-bdec-e6d62e013def</t>
  </si>
  <si>
    <t>atlas-der-sterbefaelle</t>
  </si>
  <si>
    <t>Atlas der Sterbefälle</t>
  </si>
  <si>
    <t>Wöchentlich aktualisierte Grafiken zeigen die Entwicklung der Sterbefälle &amp; der altersstandardisierten Sterberaten; regionale Unterschiede sind in einer interaktiven Karte dargestellt.</t>
  </si>
  <si>
    <t>2024-06-11 06:14:44.510137</t>
  </si>
  <si>
    <t>["14589f68-d1ac-3be8-ad3d-07249865fb85", "6f529d58-9a21-3da9-8c33-d191178d7657", "d3b85461-fc0d-3639-9aa9-39211c4ecade"]</t>
  </si>
  <si>
    <t>5a473b37-90ff-46ff-ad78-8cefac12b884</t>
  </si>
  <si>
    <t>icu-dashboard</t>
  </si>
  <si>
    <t>ICU-Dashboard</t>
  </si>
  <si>
    <t>Zeitliche und räumliche Darstellung der Intensivbetten-Auslastung in Österreich nach Bundesländern. Erstellt im Rahmen des Master-Studiums "Copernicus Master in Digital Earth" an der Universität zu Salzburg.</t>
  </si>
  <si>
    <t>2024-06-11 06:14:48.361175</t>
  </si>
  <si>
    <t>["846448a5-a26e-4297-ac08-ad7040af20f1"]</t>
  </si>
  <si>
    <t>75d94d26-a5a1-4761-8a6a-e71e6dd297ad</t>
  </si>
  <si>
    <t>badewaschel</t>
  </si>
  <si>
    <t>Badewaschel</t>
  </si>
  <si>
    <t>Mit Badewaschel können Sie aktuelle Informationen über die Auslastung der Schwimm- und Freibäder Wiens abrufen._x000D_
_x000D_
Dabei bekommen Sie über die Auslastungs-Ampel einen schnellen Überblick über die aktuelle Belegung einer Einrichtung. So können Sie top-informiert entscheiden, ob sich ein Ausflug zum nächsten Freibad noch auszahlt - speziell im Hochsommer eine wichtige Entscheidungsgrundlage.</t>
  </si>
  <si>
    <t>2024-06-11 06:14:50.011516</t>
  </si>
  <si>
    <t>["898afe8c-0297-45d6-b4b5-0cb9e632094b", "2646025c-8ab9-4850-b76c-c2f508b34798"]</t>
  </si>
  <si>
    <t>514a6685-8d51-4f93-9ef1-94395dd39227</t>
  </si>
  <si>
    <t>gemeindeapp-oesterreich</t>
  </si>
  <si>
    <t>GemeindeApp Österreich</t>
  </si>
  <si>
    <t>Die GemeindeApp bündelt den Informationsfluss innerhalb Ihrer Gemeinde und ermöglicht es Ihnen über alle wesentlichen Geschehnisse informiert zu sein. Egal ob Gemeindeinformationen, Neuigkeiten oder Veranstaltungen alles wird übersichtlich und ansprechend in der Gemeinde App dargestellt. Auch lokalen Firmen, Vereinen und Gaststätten können ihre Informationen und Anliegen teilen.</t>
  </si>
  <si>
    <t>2024-06-11 06:14:44.313603</t>
  </si>
  <si>
    <t>3505b772-05fc-40f2-9bee-0d914071c909</t>
  </si>
  <si>
    <t>covid19-entwicklung-oesterreich</t>
  </si>
  <si>
    <t>COVID19 Entwicklung Österreich</t>
  </si>
  <si>
    <t>Tägliche Fallzahlen je 100.000 EinwohnerInnen auf Bezirksebene.</t>
  </si>
  <si>
    <t>2024-06-11 06:14:44.573412</t>
  </si>
  <si>
    <t>["4b71eb3d-7d55-4967-b80d-91a3f220b60c", "81f390f9-9b42-3a72-ad9b-e11a4dbebab0"]</t>
  </si>
  <si>
    <t>002c85ba-4f0c-4cee-b645-bbd5c31f995b</t>
  </si>
  <si>
    <t>corona-dashboard</t>
  </si>
  <si>
    <t>Corona Dashboard</t>
  </si>
  <si>
    <t>Dashboard zur Visualisierung der Coronazahlen in Österreich. Einschränkbarkeit der Sichten auf reine Infektionszahlen, Gesamtansicht (Gestorben, Genesen, Infiziert), Nur Genesen, Nur Gestorben, 7 Tage Trend, Zeit bis zur Verdoppelung und Neuinfektionen gegliedert nach Wochentag (nur Screens größer als 1820 px)</t>
  </si>
  <si>
    <t>2024-06-11 06:14:45.792576</t>
  </si>
  <si>
    <t>["d3b85461-fc0d-3639-9aa9-39211c4ecade"]</t>
  </si>
  <si>
    <t>7b14435a-bee1-4e96-b11b-81406fab75bb</t>
  </si>
  <si>
    <t>erreichbarkeit-der-gratis-covid-teststationen</t>
  </si>
  <si>
    <t>Erreichbarkeit der Gratis-Covid-Teststationen</t>
  </si>
  <si>
    <t>Gratis-Covid-Teststationen zu Weihnachten: Wie sind sie im Land verteilt und wie gut sind sie erreichbar?_x000D_
_x000D_
Standortwahl und Erreichbarkeit sollten eine zentrale Rolle spielen. Besonders periphere Regionen dürfen von derartigen Angeboten nicht ausgeschlossen werden.</t>
  </si>
  <si>
    <t>2024-06-11 06:14:44.973335</t>
  </si>
  <si>
    <t>["e5cca30b-299f-496b-8162-919dca91d94e", "ab4a73b6-1c2d-42e1-b4d9-049e04889cf0", "919d40b2-031f-430e-bf6c-4183f6dc8b64"]</t>
  </si>
  <si>
    <t>1dfdd71b-12c8-4f9f-9de6-12ae952ba219</t>
  </si>
  <si>
    <t>covid-19-austria-hotspots</t>
  </si>
  <si>
    <t>COVID-19 Austria Hotspots</t>
  </si>
  <si>
    <t>COVID-19 Modell, welches Schätzungen der Reproduktionszahl und eine 3-wöchige Projektion von Hotspots für alle 94 Bezirke in Österreich bietet.</t>
  </si>
  <si>
    <t>2024-06-11 06:14:45.193226</t>
  </si>
  <si>
    <t>6d5d2077-0110-47a9-a8b8-d7b0667f6c32</t>
  </si>
  <si>
    <t>bam-ticketing</t>
  </si>
  <si>
    <t>BAM Ticketing</t>
  </si>
  <si>
    <t>B.A.M Ticketing ist eine Event Ticketing Platform, die es ermöglicht unfälschbare digitale Tickets zu emittieren._x000D_
Durch die vollständige Kontrolle des Lebenszyklus kann der Schwarzmarkt eliminiert und unerwünschte Teilnehmer wie z.B. Hooligans auf Sportveranstaltungen aus den Primär- und Sekundärmärkten ausgeschlossen werden.</t>
  </si>
  <si>
    <t>2024-06-11 06:14:43.625224</t>
  </si>
  <si>
    <t>bb1191f5-427f-483a-b060-c0c2eff08363</t>
  </si>
  <si>
    <t>entwicklung-der-7-tages-inzidenz-zu-covid-19-in-oesterreichs-bezirken</t>
  </si>
  <si>
    <t>Entwicklung der 7-Tages-Inzidenz zu Covid-19 in Österreichs Bezirken</t>
  </si>
  <si>
    <t>Die Visualisierung zeigt die Entwicklung der 7-Tages-Inzidenz, also die Summe der durch Tests bestätigten Fälle mit Covid-19 pro sieben Tagen und 100.000 Personen, in Österreichs Bezirken. Alternativ können Siedlungseinheiten als Symbol für die Bezirke verwendet werden.</t>
  </si>
  <si>
    <t>2024-06-11 06:14:44.409947</t>
  </si>
  <si>
    <t>["4b71eb3d-7d55-4967-b80d-91a3f220b60c", "7e0d1134-ccfb-3255-a539-e086d1d7aa29"]</t>
  </si>
  <si>
    <t>eb2b0177-b69a-439b-9a2b-782cd2eb1a77</t>
  </si>
  <si>
    <t>corona-ampel-widget-2</t>
  </si>
  <si>
    <t>Corona-Ampel Widget</t>
  </si>
  <si>
    <t>Corona-Ampel Widget zum leichten Einbinden in Webseiten mit der Auswahlmöglichkeit, für welches Bundesland oder Bezirk die Daten angezeigt werden sollen.</t>
  </si>
  <si>
    <t>2024-06-11 06:14:43.888395</t>
  </si>
  <si>
    <t>a03255e4-bc1c-4756-8c07-8b5ccdce14bf</t>
  </si>
  <si>
    <t>daheim-in</t>
  </si>
  <si>
    <t>daheim.in</t>
  </si>
  <si>
    <t>Darstellung von regionalen Informationen zu Corona in Österreich.</t>
  </si>
  <si>
    <t>["4b71eb3d-7d55-4967-b80d-91a3f220b60c", "846448a5-a26e-4297-ac08-ad7040af20f1", "52abfc2b-031c-4875-b838-653abbfccf4e"]</t>
  </si>
  <si>
    <t>a5e21846-714b-443a-b560-24624ef52e1f</t>
  </si>
  <si>
    <t>covid-daten-regional-mit-zeitreihe</t>
  </si>
  <si>
    <t>COVID Daten regional mit Zeitreihe</t>
  </si>
  <si>
    <t xml:space="preserve">Positiv Getestete, Erkrankte, Genesene, Todesfälle, Hospitalisierte mit Zeitreihe und Min/Max;_x000D_
* stufenlose Farbskala_x000D_
* Zeitreihe für Bezirke bzw. Länder_x000D_
* Liniengrafik über die zeitliche Entwicklung mit ZoomIn und ZoomOut und rolling legend_x000D_
* automatische Aktualisierung der Liniengrafik bei Variantenwechsel_x000D_
* prev, next und play_x000D_
* Min/Max-Funktion zur Ermittlung der Regionen mit den größten/kleinsten Änderungen_x000D_
* Optimale Performance durch die Technik einer "single page app"_x000D_
</t>
  </si>
  <si>
    <t>2024-06-11 06:14:45.960982</t>
  </si>
  <si>
    <t>["3765ed62-0f9d-49ad-83b0-1405ed833108", "2f6649b6-2b2d-49a9-ab31-6c7e43728001", "ef8e980b-9644-45d8-b0e9-c6aaf0eff0c0", "4b71eb3d-7d55-4967-b80d-91a3f220b60c", "846448a5-a26e-4297-ac08-ad7040af20f1", "734a5746-bbda-4fc0-8eb3-52c6325ceb88", "4312623f-2cdc-4a59-bea5-877310e6e48d", "7effe370-ce79-4286-b299-c5d851f546ff"]</t>
  </si>
  <si>
    <t>919ada8d-5af6-4ad8-a890-dcf9a1e30f8b</t>
  </si>
  <si>
    <t>covid-19-vollimmunisierungsgrad-oesterreichs-nach-gemeinden</t>
  </si>
  <si>
    <t>COVID-19-Vollimmunisierungsgrad Österreichs nach Gemeinden</t>
  </si>
  <si>
    <t>Karte der prozentuellen Anteile der vollimmunisierten Personen Österreichs nach Gemeinden seit Anfang August 2021, wöchentlich aktualisiert (bzw. erweitert).</t>
  </si>
  <si>
    <t>2024-06-11 06:14:47.93437</t>
  </si>
  <si>
    <t>["4532a95c-95e8-44da-9bac-9d56e8ab39c2"]</t>
  </si>
  <si>
    <t>947e0cb7-c71e-4515-9471-c02ab884b097</t>
  </si>
  <si>
    <t>geodaten-visualisierung</t>
  </si>
  <si>
    <t>Geodaten Visualisierung</t>
  </si>
  <si>
    <t>Verschiedene Open-Data Elemente werden auf einer OpenStreetMap strukturiert dargestellt. Die Daten werden aktuell von den zur Verfügung gestellten Schnittstellen geladen.</t>
  </si>
  <si>
    <t>2024-06-11 06:14:48.894136</t>
  </si>
  <si>
    <t>["e2e7100e-7094-48cf-9d6d-146a52c8dd8b", "44720e90-c2de-497b-8162-3810206dd011", "41760DF5-1EBF-424C-8251-EA0466BC2EE5", "c8218f47-8ef6-43c6-9f86-3125e317f60e", "941cd994-a89e-45da-a208-5b9cc5e7e0e6", "8dfe02c3-c8b6-4c0e-84ec-7dad6be0b673"]</t>
  </si>
  <si>
    <t>4c64b08f-d015-47da-8df9-af76dff149cd</t>
  </si>
  <si>
    <t>furtbot</t>
  </si>
  <si>
    <t>Furtbot</t>
  </si>
  <si>
    <t>Der Furtbot informiert die Benutzer vorab per Pushnachricht über die aktuelle Situation (Pegelstand, Befahrbarkeit und Sperrung) an der Furt bei der Dornbirner Ache._x000D_
_x000D_
Die Flachstelle (Untiefe) im Flusslauf der Ache ist bei Hochwasser oft überschwemmt. Auto- und Radfahrer müssen großräumig ausweichen, dies ist vor allem für Pendler auf dem Weg zur Arbeit ein zeitintensives Problem. Es gab bisher keine automatische Benachrichtigung für Informationen zu dieser Sperre._x000D_
_x000D_
Benutzer können sich zusätzlich Livebilder der vor Ort installierten Webcam zusenden lassen. Hierbei wurde aus Datenschutzgründen darauf geachtet, dass die Nummernschilder unkenntlich gemacht werden.</t>
  </si>
  <si>
    <t>2024-06-11 06:14:43.755539</t>
  </si>
  <si>
    <t>["8160dafd-84e7-4540-b9f1-32e6ecff0409"]</t>
  </si>
  <si>
    <t>7123974b-fe71-4c9d-8393-304c15aca9e8</t>
  </si>
  <si>
    <t>first-past-the-post-vs-proportional-representation</t>
  </si>
  <si>
    <t>First-past-the-post vs Proportional Representation</t>
  </si>
  <si>
    <t>With the US election coming up this November, we were interested to see how the election results and the distribution of members in the lower house of the parliament and the Government of Austria could look like if we used the first-past-the-post electoral system. This election system is used by many English-speaking countries. (The system of Nebraska and Main for the United States Electoral College are ignored.) We wanted to see if the structure of the results would be similar to the results of the USA.</t>
  </si>
  <si>
    <t>2024-06-11 06:14:44.345541</t>
  </si>
  <si>
    <t>["09716341-2bea-4298-9525-e936d8247d19", "3179c5b2-9bb5-4a7f-a573-5491ccb0110b", "8becadda-124e-43f3-900e-f1ab685574e5"]</t>
  </si>
  <si>
    <t>3354bec9-92ad-467f-a102-bb42a8f65d09</t>
  </si>
  <si>
    <t>covid-19-2020-im-rueckblick</t>
  </si>
  <si>
    <t>Covid-19: 2020 im Rückblick</t>
  </si>
  <si>
    <t>Die Seite versucht mittels mehrerer Visualisierungen einen Überblick über die Jahresdaten - 26. Februar bis 31. Dezember - 2020 zu Covid-19 und zum Verlauf der Pandemie in Österreich zu geben.</t>
  </si>
  <si>
    <t>2024-06-11 06:14:45.004014</t>
  </si>
  <si>
    <t>["ef8e980b-9644-45d8-b0e9-c6aaf0eff0c0", "4b71eb3d-7d55-4967-b80d-91a3f220b60c"]</t>
  </si>
  <si>
    <t>83d905be-56ed-45d5-ba74-65bc9d709444</t>
  </si>
  <si>
    <t>hochrechnung-bis-zur-vollimmunisierung</t>
  </si>
  <si>
    <t>Hochrechnung bis zur Vollimmunisierung</t>
  </si>
  <si>
    <t>Wie lange dauert es, bis eine theoretische Vollimmunisierung in Österreich statt gefunden hat?</t>
  </si>
  <si>
    <t>2024-06-11 06:14:47.209346</t>
  </si>
  <si>
    <t>["7effe370-ce79-4286-b299-c5d851f546ff"]</t>
  </si>
  <si>
    <t>8a8b8025-380a-4914-9d8a-e210ab36b598</t>
  </si>
  <si>
    <t>touren-labut-at-2</t>
  </si>
  <si>
    <t>touren.labut.at</t>
  </si>
  <si>
    <t>In dem privaten Blog touren.labut.at werden Ideen für Wanderungen rund um Wien und Niederösterreich gesammelt. Neben den Stadtwanderwegen liegt ein Schwerpunkt auf Wasserwegen und dem Wienerwald._x000D_
_x000D_
Den Besuchern wird neben OpenStreetMap auch eine Darstellung via basemap.at und basemap.at angeboten.</t>
  </si>
  <si>
    <t>2024-06-11 06:14:48.093131</t>
  </si>
  <si>
    <t>["36886c25-6961-4055-96b2-b3e8b138e588", "2c54f4d6-5712-4e5a-a025-b7f7a396c39b"]</t>
  </si>
  <si>
    <t>7288f7f2-79ae-41e3-9544-43f6518a58e6</t>
  </si>
  <si>
    <t>covid-19-inzidenz-aus-mehreren-quellen-in-einem-diagramm</t>
  </si>
  <si>
    <t>Covid-19-Inzidenz aus mehreren Quellen in einem Diagramm</t>
  </si>
  <si>
    <t>Covid-19-Inzidenz aus mehreren Quellen zum Vergleichen in einem Diagramm</t>
  </si>
  <si>
    <t>2024-06-11 06:14:47.30847</t>
  </si>
  <si>
    <t>["f33dc893-bd57-4e5c-a3b0-e32925f4f6b1"]</t>
  </si>
  <si>
    <t>eb33f409-b2a3-4a5e-a1aa-6ca3c8d976ba</t>
  </si>
  <si>
    <t>landtagswahl-niederoesterreich-2023</t>
  </si>
  <si>
    <t>Landtagswahl Niederösterreich 2023</t>
  </si>
  <si>
    <t xml:space="preserve">Analyse der Landtagswahl Niederösterreich 2023 Vergleich mit 2018 </t>
  </si>
  <si>
    <t>2024-06-11 06:14:50.804938</t>
  </si>
  <si>
    <t>["6d731e6e-7dcf-4bde-8061-d0e195f62f6c"]</t>
  </si>
  <si>
    <t>ae8d0790-fb6e-46e9-bcbe-984766810e09</t>
  </si>
  <si>
    <t>hfcs-international-key-figures-dashboard</t>
  </si>
  <si>
    <t>HFCS-International-Key-Figures Dashboard</t>
  </si>
  <si>
    <t>Das Dashboard beinhaltet umfassende Auswertungsmöglichkeiten der 1. bis 3. Wellen der Household Finance and Consumption Survey Daten des Eurosystems für alle Euroraumländer die jeweils am Survey teilgenommen haben.</t>
  </si>
  <si>
    <t>2024-06-11 06:14:51.684228</t>
  </si>
  <si>
    <t>["eadb9328-97cb-4cac-b885-032f26f349cc"]</t>
  </si>
  <si>
    <t>7b10fc94-bf31-49fa-80cf-f04fecf630ea</t>
  </si>
  <si>
    <t>website-widget-des-corona-ampel-status-fuer-hallein</t>
  </si>
  <si>
    <t>Website-Widget des Corona-Ampel-Status für Hallein</t>
  </si>
  <si>
    <t>Der aktuelle Status der Corona-Ampel für Hallein wurde in die verlinkten Webseiten integriert und wird dort automatisch aktualisiert.</t>
  </si>
  <si>
    <t>2024-06-11 06:14:43.824235</t>
  </si>
  <si>
    <t>c4516e05-9f78-4a0a-8379-0a4ccd686cdb</t>
  </si>
  <si>
    <t>planlauf-terrain</t>
  </si>
  <si>
    <t>planlauf/TERRAIN</t>
  </si>
  <si>
    <t>planlauf/TERRAIN's app for iOS displays 2D LiDAR maps that you can create with the desktop version of planlauf/TERRAIN. You can also purchase LiDAR maps for some regions in Europe. Together with your device’s GPS, you can use the app for hiking or exploring landscapes.</t>
  </si>
  <si>
    <t>2024-06-11 06:14:43.690382</t>
  </si>
  <si>
    <t>ec92d501-138d-436f-8036-3b38c5a4271f</t>
  </si>
  <si>
    <t>corona-ampel-iframe</t>
  </si>
  <si>
    <t>Corona Ampel iFrame</t>
  </si>
  <si>
    <t>Per iFrame können Sie auf ihrer Website die aktuelle Ampelfarbe eines festgelegten Bezirks anzeigen lassen. Die Anwendung ist bewusst simpel gehalten um eine gute Anpassung an ihr Webdesign zu ermöglichen.</t>
  </si>
  <si>
    <t>2024-06-11 06:14:44.015827</t>
  </si>
  <si>
    <t>56d7dc51-8ea7-402b-afd4-62e63e698d8e</t>
  </si>
  <si>
    <t>rechtssatz-bot-rechtssatz</t>
  </si>
  <si>
    <t>Rechtssatz Bot @rechtssatz</t>
  </si>
  <si>
    <t>Ein Twitterbot der täglich neue Rechtssätze aus dem RIS (Rechtsinformationssystem) postet.</t>
  </si>
  <si>
    <t>2024-06-11 06:14:50.866344</t>
  </si>
  <si>
    <t>7d2f1886-0059-4204-be29-6dc774799f23</t>
  </si>
  <si>
    <t>visuell-kognitive-auswertung</t>
  </si>
  <si>
    <t>Visuell-Kognitive Auswertung</t>
  </si>
  <si>
    <t>Luftbilder werden im Bezug auf gravitative Massenbewegungen (Prozessbereichen und Strukturen) ausgewertet und in einer Datenbank gespeichert.</t>
  </si>
  <si>
    <t>2024-06-11 06:14:51.519139</t>
  </si>
  <si>
    <t>["808ef482-f28e-4bb9-8895-30f2e81010f0", "cdb89665-1fa8-4af3-9c76-27afbccc6628"]</t>
  </si>
  <si>
    <t>2c8a170a-3070-4f99-9251-15316e9db3a5</t>
  </si>
  <si>
    <t>corona-ampel-risiko-warnstufen-system-visualisierung</t>
  </si>
  <si>
    <t>Corona-Ampel (Risiko-Warnstufen System) Visualisierung</t>
  </si>
  <si>
    <t>Die Corona-Ampel fungiert als dynamisches Werkzeug für eine einheitliche, koordinierte und transparente Vorgehensweise der Behörden zu COVID-19 entsprechend der jeweiligen epidemiologischen Situation auf regionaler Ebene. Die Corona-Ampel dient als Leitsystem zur Informierung von Behörden und der Öffentlichkeit über das entsprechende COVID-19 Risiko._x000D_
_x000D_
Anhand der Corona-Ampel erfolgen seitens der österreichischen Behörden entsprechende Maßnahmen und Vorgaben für alle Gesellschafts- und Wirtschaftsbereiche auf regionaler Ebene. Seitens der Öffentlichkeit wird im Sinne der Eindämmung der COVID-19 Krise um laufende Kenntnisnahme und Einhaltung dieser Vorgaben ersucht. Die Empfehlungen und Vorgaben orientieren sich an der jeweiligen epidemiologischen Lage und sind flexibel auf die jeweilige COVID-19 Situation angepasst. Die Maßnahmen können für das gesamte Bundesgebiet, einzelne Länder oder Bezirke gelten.</t>
  </si>
  <si>
    <t>2024-06-11 06:14:43.790887</t>
  </si>
  <si>
    <t>966b0a77-2a66-4382-8862-5fa3ce907805</t>
  </si>
  <si>
    <t>corona-ampel-als-cartogram</t>
  </si>
  <si>
    <t>Corona Ampel als Cartogram</t>
  </si>
  <si>
    <t>Eine verzerrte Darstellung der Corona Ampel in dem mittels Cartogram auch die Bevölkerungsdichte mit einbezogen wurden, wodurch Ballungszentren an Raum gewinnen und periphäre Regionen weniger groß dargestellt werden.</t>
  </si>
  <si>
    <t>2024-06-11 06:14:44.050256</t>
  </si>
  <si>
    <t>["52abfc2b-031c-4875-b838-653abbfccf4e", "6d731e6e-7dcf-4bde-8061-d0e195f62f6c", "87dd1233-938d-39a3-84b7-84f6bc953747"]</t>
  </si>
  <si>
    <t>647b7f93-281e-4fc5-a6aa-91b38d4afb62</t>
  </si>
  <si>
    <t>covid19-corona-testlocations</t>
  </si>
  <si>
    <t>COVID19/Corona Testlocations</t>
  </si>
  <si>
    <t>Detailierte Auflistung und Karte aller Coronatest-Möglichkeiten aktuell für Wien, in Zukunft auch für andere Bundesländer</t>
  </si>
  <si>
    <t>2024-06-11 06:14:44.669024</t>
  </si>
  <si>
    <t>["2c54f4d6-5712-4e5a-a025-b7f7a396c39b", "4f677177-23bc-4f0a-8dbf-578762c8d976"]</t>
  </si>
  <si>
    <t>1b35e68f-df9d-448a-8077-ca58759da0a2</t>
  </si>
  <si>
    <t>realtime-monitor-wiener-linien</t>
  </si>
  <si>
    <t>Realtime Monitor Wiener Linien</t>
  </si>
  <si>
    <t>Anzeige der Abfahrtzeiten der nahegelegenen S- und U-Bahnen im Informationscreen des Seminarhotels Am Spiegeln</t>
  </si>
  <si>
    <t>2024-06-11 06:14:48.191088</t>
  </si>
  <si>
    <t>b117feae-5d25-4b2a-96d1-c522960db97b</t>
  </si>
  <si>
    <t>covid-checker-de</t>
  </si>
  <si>
    <t>Covid-Checker.de</t>
  </si>
  <si>
    <t>Übersicht der COVID-Fälle für Deutschland, Österreich und die benachbarten Länder (im Aufbau).</t>
  </si>
  <si>
    <t>2024-06-11 06:14:44.442077</t>
  </si>
  <si>
    <t>c58a9f0c-004c-45ad-944c-7157c3055310</t>
  </si>
  <si>
    <t>tauernhoehenwege-org</t>
  </si>
  <si>
    <t>tauernhoehenwege.org</t>
  </si>
  <si>
    <t>Das Tourenportal "Wandern, Trekking &amp; Bergsteigen in den Hohen Tauern" stellt den Benutzern Informationen über Wege, Hütten und Talorte in dieser Region zur Verfügung. Mit einem kartenbasiertem, interaktiven Routenplaner können individuelle Touren durch die Angabe eines Start-, eines Zielpunkts und optionalen Zwischenzielen erstellt werden. Für eine erstellte Tour erhält der Nutzer dann eine detaillierte Beschreibung mit Fotos, Karte, GPS-Track, aktuellen Informationen und falls notwendig Gefahrenhinweise.</t>
  </si>
  <si>
    <t>2024-06-11 06:14:47.998453</t>
  </si>
  <si>
    <t>a9d8a419-eb44-4d95-b0ce-cc76c6c10727</t>
  </si>
  <si>
    <t>einkaufszeit-oesterreich</t>
  </si>
  <si>
    <t>Einkaufszeit Österreich</t>
  </si>
  <si>
    <t xml:space="preserve">Diese App zeigt dir die Öffnungszeiten von über 5000 Geschäften und alle regionalen Einkaufsmöglichkeiten in deiner Umgebung._x000D_
_x000D_
Für die Apotheken wurden Daten von data.gv.at verwendet. Die mithilfe von weiteren Services eine Übersicht von Apotheken und ihren Öffnungszeiten in der App anzeigen._x000D_
_x000D_
Weiters finden sich in der App noch Öffnungszeiten zu diesen Branchen:_x000D_
* Supermarkt_x000D_
* Bauern Hofladen_x000D_
* Apotheken_x000D_
* Bäckerei_x000D_
* Fashion_x000D_
* Getränkehandel_x000D_
* Konditorei_x000D_
* Baumarkt_x000D_
* Elektronik_x000D_
</t>
  </si>
  <si>
    <t>2024-06-11 06:14:46.289871</t>
  </si>
  <si>
    <t>["a16d2431-eeec-4e76-8280-b1ac7b4082ff", "3ae40a5c-88ce-4cfe-8fa1-f64d97c47bd4", "d61ed212-9915-4018-a350-caecfda3e0c6"]</t>
  </si>
  <si>
    <t>f0762815-9ab0-495d-8dee-98164af54cbc</t>
  </si>
  <si>
    <t>datte-detection-of-attic-extensions</t>
  </si>
  <si>
    <t>DAttE – Detection of attic extensions</t>
  </si>
  <si>
    <t>Wien zählt zu jenen europäischen Städten die derzeit durch ein starkes Wachstum geprägt sind und somit unter dem Druck einer hohen Nachfrage nach Wohnraum stehen. Dachbodenausbauten bildet dabei eine Möglichkeit, diese Nachfrage zu befriedigen. Es fehlen jedoch Daten, um zu wissen, welche Dächer und in welchem Umfang bereits erweitert wurden. Dieses Wissen ist für die Stadt auf zweierlei Weise von Interesse: Erstens in Bezug auf die Verteilung der Potenzialen (eine mögliche Änderung der Bevölkerungsdichte wirkt sich beispielsweise auf die Infrastruktur und die Versorgung aus) und zweitens in Bezug auf die Materialzusammensetzung (die Stadt als materielle Ressource). Die vorliegende Anwendung visualisiert einen Zwischenschritt eines Workflows, um diese Wissenslücke zu schließen. Dabei werden LOD2 Daten der Stadt Wien herangezogen und die Dachformen hinsichtlich Neigung und Dachaufbauten analysiert (das Programm wurde in Grasshopper® für Rhino® geschrieben [McNeel &amp; Associates, R 2015]). Aus der Analyse ergibt sich für die Dachflächen ein Verhältnis zwischen tatsächlichem Volumen und maximalem Volumen (als hypothetischer Vollausbau mit Flachdach, ungeachtet möglicher Einschränkungen durch die Wiener Bauordnung etc). Ein Farbcode definiert schließlich den Ausbaugrad._x000D_
_x000D_
Alle Daten wurden sorgfältig geprüft, jedoch gilt: Irrtum und Änderungen vorbehalten. Für die Korrektheit wird keine Haftung übernommen. Es handelt sich lediglich um eine Studie basierend auf öffentlich verfügbaren Daten (siehe unten)._x000D_
_x000D_
data source: Stadt Wien – &lt;https://data.wien.gv.at&gt; (2021): Generalisiertes Dachmodell (LOD2) Wien, Creative Commons Namensnennung 4.0 International._x000D_
_x000D_
McNeel &amp; Associates, R 2015, Rhinoceros 3D, Version 5.0, Robert McNeel &amp; Associates, Seattle, WA_x000D_
_x000D_
Kartenmaterial der Stadt Wien: [www.wien.gv.at/ma41datenviewer/public/](http://www.wien.gv.at/ma41datenviewer/public/) (Stand 15.05.2021)</t>
  </si>
  <si>
    <t>2024-06-11 06:14:48.32819</t>
  </si>
  <si>
    <t>b0f742b8-4ab8-4cfc-ac35-2b622a410509</t>
  </si>
  <si>
    <t>corona-ampel-region-wiener-neustadt</t>
  </si>
  <si>
    <t>Corona-Ampel Region Wiener Neustadt</t>
  </si>
  <si>
    <t>Aktueller Status der Corona-Ampel in einer interaktiven Karte für das Online Magazin wn24.at.</t>
  </si>
  <si>
    <t>2024-06-11 06:14:43.855453</t>
  </si>
  <si>
    <t>de1cffad-61a9-4942-a943-db52ffe2c212</t>
  </si>
  <si>
    <t>mehrwoechige-forecasts-der-intensivbettenbelegung</t>
  </si>
  <si>
    <t>Mehrwöchige Forecasts der Intensivbettenbelegung</t>
  </si>
  <si>
    <t>Mehrwöchiger Forecast der Spitals- und Intensivbettenbelegung Forecast und Analyse der epidemiologischen Situation, wöchentliche Aktualisierung.</t>
  </si>
  <si>
    <t>2024-06-11 06:14:48.926254</t>
  </si>
  <si>
    <t>["3765ed62-0f9d-49ad-83b0-1405ed833108", "ef8e980b-9644-45d8-b0e9-c6aaf0eff0c0", "276ffd1e-efdd-42e2-b6c9-04fb5fa2b7ea", "846448a5-a26e-4297-ac08-ad7040af20f1"]</t>
  </si>
  <si>
    <t>7cfb6d57-2703-4ab7-98d5-535b9583b078</t>
  </si>
  <si>
    <t>fogis-fonds-geo-informations-system</t>
  </si>
  <si>
    <t>FOGIS - Fonds-Geo-Informations-System</t>
  </si>
  <si>
    <t>FOGIS zeigt auf einer interaktiven Karte die Standorte der vom Nationalfonds der Republik Österreich geförderten Projekte weltweit, die Liegenschaften, die in den Entscheidungen der Schiedsinstanz für Naturalrestitution behandelt wurden, die jüdischen Friedhöfe in Österreich und die Gedenksteine, die an die Opfer des Nationalsozialismus in Österreich erinnern. Sämtliche Informationen sind sowohl in deutscher als auch in englischer Sprache verfügbar.</t>
  </si>
  <si>
    <t>2024-06-11 06:14:49.422813</t>
  </si>
  <si>
    <t>["2c54f4d6-5712-4e5a-a025-b7f7a396c39b", "254757be-69ef-4a6c-a4c1-1432815d7522", "51bdc6dc-25ae-41de-b8f3-938f9056af62"]</t>
  </si>
  <si>
    <t>e29b1a12-e68b-49be-8142-45b2f5134429</t>
  </si>
  <si>
    <t>citywalx</t>
  </si>
  <si>
    <t>Citywalx</t>
  </si>
  <si>
    <t>Citywalx ist ein Prop-Tech-Startup, das an automatisierten Lösungen arbeitet, um den Zeit- und Kostenaufwand für Standortrecherchen drastisch zu reduzieren. Dafür alle öffentlich verfügbaren Daten über Standorte zusammengefügt, diese Daten aufbereitet und in einer für Nutzer:innen optimierten Form präsentiert. Die Kund:innen von Citywalx sind gleichzeitig Partner:innen. Gemeinsam mit ihnen werden die Service entsprechend deren Wünschen und Anforderungen entwickelt. Durch diesen Feedback-Prozess kann ein Produkt garantiert werden, welches kontinuierlich für die Nutzer:innen optimiert wird.</t>
  </si>
  <si>
    <t>2024-06-11 06:14:49.813137</t>
  </si>
  <si>
    <t>["cede9004-ba9f-4a4f-8bed-773927c17f48", "6fdea17f-9eac-4860-8b35-6108e792e6b1", "d76c0e8b-c599-4700-8a88-29d0d87e563d", "b29308e9-3888-44be-ac2f-8f1515ac0347", "7a8aae59-71a4-4500-b38b-bdf15c7f627f", "fff27cd6-426c-479f-ae66-077ae6f1437d"]</t>
  </si>
  <si>
    <t>cb105ed2-9000-4de7-8edc-4e3f73b6ed43</t>
  </si>
  <si>
    <t>bundesgesetzblatt-twitterbot-bgbl_bot</t>
  </si>
  <si>
    <t>Bundesgesetzblatt Twitterbot @BGBl_Bot</t>
  </si>
  <si>
    <t>Ein Twitterbot, der das Bundesgesetzblatt tweetet, sobald es erscheint. @[BGBl\_Bot](https://twitter.com/BGBl_Bot)</t>
  </si>
  <si>
    <t>2024-06-11 06:14:50.929505</t>
  </si>
  <si>
    <t>2835d637-b50e-42cf-abc5-b682f8f0173a</t>
  </si>
  <si>
    <t>covid-in-austria</t>
  </si>
  <si>
    <t>Covid in Austria</t>
  </si>
  <si>
    <t>Simple Covid Dashboard built on R Shiny</t>
  </si>
  <si>
    <t>2024-06-11 06:14:45.09932</t>
  </si>
  <si>
    <t>11cf2dd6-d01c-4ca8-893a-4c1a1a9d542f</t>
  </si>
  <si>
    <t>die-zweite-welle</t>
  </si>
  <si>
    <t>Die zweite Welle</t>
  </si>
  <si>
    <t>Visualisierung ausgewählter Variablen während der zweiten Corona-Welle ab 1. Juni 2020:_x000D_
_x000D_
Prognose- und Ist-Daten der Summe der positiv Getesteten bzw. der täglichen Neuinfektionen._x000D_
_x000D_
Visualisierung der_x000D_
_x000D_
(a) täglichen Neuinfektionen,_x000D_
(b) tägliche Netto-Infektionen (=Tägliche Neuinfektionen minus täglich Genesenen minus täglich Verstorbenen),_x000D_
(c) Quotient aus täglichen Neuinfektionen und (Summe aus täglich Genesenen plus Verstorbenen),_x000D_
(d) logarithmischer Trend der täglichen Neuinfektionen,_x000D_
(e) Quotient aus Anzahl der positiv Getesteten und gesamten Tests,_x000D_
(f) Quotient aus gesamten Verstorbenen und gesamten positiv Getesteten.</t>
  </si>
  <si>
    <t>2024-06-11 06:14:44.699882</t>
  </si>
  <si>
    <t>["3765ed62-0f9d-49ad-83b0-1405ed833108", "2f6649b6-2b2d-49a9-ab31-6c7e43728001", "ef8e980b-9644-45d8-b0e9-c6aaf0eff0c0", "846448a5-a26e-4297-ac08-ad7040af20f1", "4b71eb3d-7d55-4967-b80d-91a3f220b60c"]</t>
  </si>
  <si>
    <t>3591613c-8582-49c7-96f6-b55d3889b6b2</t>
  </si>
  <si>
    <t>corona-tabelle-mit-statistiken-und-eigenen-vorhersagen</t>
  </si>
  <si>
    <t>Corona-Tabelle mit Statistiken und eigenen Vorhersagen</t>
  </si>
  <si>
    <t>Die verlinkten Tabellen zeigen den Verlauf von Corona im Laufe der Zeit und in verschiedenen Regionen, dazu einige Graphen und Vorhersagen, zum Beispiel ein theoretisches Enddatum der Impfungen (100% erreicht) bei linearem Verlauf. Die Tabellen werden mithilfe eines Bash-Skripts automatisch aus verschiedenen Quellen befüllt, unter anderem von data.gv.at, vom Robert-Koch-Institut, aus einer Lokalzeitung, etc.</t>
  </si>
  <si>
    <t>2024-06-11 06:14:47.408545</t>
  </si>
  <si>
    <t>["4312623f-2cdc-4a59-bea5-877310e6e48d"]</t>
  </si>
  <si>
    <t>31a886a1-b60a-47b6-8833-a3172685c71d</t>
  </si>
  <si>
    <t>covid-19-simulations</t>
  </si>
  <si>
    <t>COVID-19 Simulations</t>
  </si>
  <si>
    <t>Simulating COVID-19 projections for various scenarios and countries.</t>
  </si>
  <si>
    <t>2024-06-11 06:14:48.81798</t>
  </si>
  <si>
    <t>["276ffd1e-efdd-42e2-b6c9-04fb5fa2b7ea"]</t>
  </si>
  <si>
    <t>14edeba1-1b0b-48f1-adad-d90aa62d4b57</t>
  </si>
  <si>
    <t>corona-gedenken-at</t>
  </si>
  <si>
    <t>corona-gedenken.at</t>
  </si>
  <si>
    <t>Gedenkseite für an Corona gestorbene Menschen in Österreich_x000D_
_x000D_
**Datenquelle**: Prof. Dr. Erich Neuwirth, &lt;https://www.covidanalysen.at&gt; basierend u.a. auf offenen Daten des BMSGPK (Bundesministeriums für Soziales, Gesundheit, Pflege und Konsumentenschutz) veröffentlicht am [Österreichisches COVID-19 Open Data Informationsportal](https://www.data.gv.at/covid-19)</t>
  </si>
  <si>
    <t>2024-06-11 06:14:44.939275</t>
  </si>
  <si>
    <t>74497781-aca7-4507-b46b-b19b6d2fb0d9</t>
  </si>
  <si>
    <t>corona-dashboard-oesterreich</t>
  </si>
  <si>
    <t>Corona Dashboard Österreich</t>
  </si>
  <si>
    <t xml:space="preserve">Corona Fallzahlen, Wahrscheinlichkeit positiv getestet zu werden und seit neuestem auch den aktuellen Stand der Impfungen in Österreich_x000D_
_x000D_
Aktuelles Risiko für Österreich, Wahrscheinlichkeit positiv getestet zu werden, Auslastung der Intensivbetten_x000D_
* 7 Tage Inzidenz pro Bezirk_x000D_
* Verlauf der Epidemie (log. und lin.)_x000D_
* Österreich vs. Schweden_x000D_
* Dunkelziffer Multiplikator_x000D_
</t>
  </si>
  <si>
    <t>2024-06-11 06:14:46.123315</t>
  </si>
  <si>
    <t>c2f44f37-cf7c-4698-9d5b-7c10b7c9e0aa</t>
  </si>
  <si>
    <t>covid-inzidenz-nach-bezirken-in-oesterreich-hexagon-karte</t>
  </si>
  <si>
    <t>Covid-Inzidenz nach Bezirken in Österreich (Hexagon-Karte)</t>
  </si>
  <si>
    <t xml:space="preserve">Experimentelle Hexagon-Karte zu Österreichs Bezirken und 3d-Visualisierung der Covid-19-Inzidenz. Die Grafik wurde mit R erstellt, der Code für die Reproduktion ist frei verfügbar. </t>
  </si>
  <si>
    <t>2024-06-11 06:14:48.785904</t>
  </si>
  <si>
    <t>eb63d7ca-773a-4a37-a2f0-24b5f076e60f</t>
  </si>
  <si>
    <t>percentage-of-valid-covid-certificates</t>
  </si>
  <si>
    <t>Percentage of Valid Covid Certificates</t>
  </si>
  <si>
    <t>The map of Austria below visualizes the percentage of the population with a valid Covid Certificate.</t>
  </si>
  <si>
    <t>2024-06-11 06:14:49.021898</t>
  </si>
  <si>
    <t>["d230c9e8-745a-4da3-a3b4-86842591d9f0", "566c99be-b436-365e-af4f-27be6c536358"]</t>
  </si>
  <si>
    <t>9a85caad-87ad-4705-8566-4b24405ae4c7</t>
  </si>
  <si>
    <t>medien-transparenz-at</t>
  </si>
  <si>
    <t>medien-transparenz.at</t>
  </si>
  <si>
    <t>Einfache Übersicht und interaktive Recherche der Daten nach dem Medientransparenz-Gesetz (MedKF-TG)</t>
  </si>
  <si>
    <t>2024-06-11 06:14:51.35677</t>
  </si>
  <si>
    <t>["c3a8d866-408e-4042-893e-99710b4db683"]</t>
  </si>
  <si>
    <t>384249a7-fe20-4d40-87e5-1f16fb7d472e</t>
  </si>
  <si>
    <t>bim-bim</t>
  </si>
  <si>
    <t>Bim Bim</t>
  </si>
  <si>
    <t>Diese Web-App (sowohl für iPhone als auch Android) richtet sich vor allem an starke Benutzer des öffentlichen Nahverkehrs in Linz._x000D_
Im Gegensatz zu anderen Fahrplan-Apps hilft "Bim Bim" dem Benutzer sich möglichst rasch einen Überblick über die Abfahrtszeiten für die nächstgelegene Haltestelle zu verschaffen. Für Vielfahrer und Pendler ist somit die gewünschte Information in sekundenschnelle auf dem Smartphone abrufbar._x000D_
Der Vorteil der Web-App gegenüber einer nativen Anwendung liegt in der vielseitigen Nutzbarkeit auf fast allen aktuellen Smartphones. Sollte die Standortbestimmung durch GPS deaktiviert sein, kann über die Suchfunktion schnell die gewünschte Haltestelle ausgewählt werden._x000D_
Zusätzliche Features von "Bim Bim" sind die rasche Filterung nach Linien für eine gewünschte Haltestelle, die Anzeige der nächsten Zwischenstopps inklusive Ankunftszeiten sowie für jede Haltestelle ein Umgebungsplan.</t>
  </si>
  <si>
    <t>2024-06-11 06:14:39.494882</t>
  </si>
  <si>
    <t>["d3c0a223-516b-4049-9370-22881a0428d8", "884c0d9f-f790-41c2-a2a5-351b7c434896", "7562f659-398d-46d7-9167-7f9ccaa00263"]</t>
  </si>
  <si>
    <t>93ccc0e9-9dc0-47f3-9b37-d524c7fd3be9</t>
  </si>
  <si>
    <t>impfbot-2</t>
  </si>
  <si>
    <t>Impfbot</t>
  </si>
  <si>
    <t>Ein tägliches Update zu den Corona-Schutzimpfungen in Österreich als Tweet.</t>
  </si>
  <si>
    <t>2024-06-11 06:14:46.056319</t>
  </si>
  <si>
    <t>60ef4ee0-ff11-4833-9ac3-788d96bc6668</t>
  </si>
  <si>
    <t>coronavirus-in-austria</t>
  </si>
  <si>
    <t>Coronavirus in Austria</t>
  </si>
  <si>
    <t>This website provides figures and charts for the coronavirus pandemic in Austria. The data is updated daily.</t>
  </si>
  <si>
    <t>2024-06-11 06:14:46.090318</t>
  </si>
  <si>
    <t>["ef8e980b-9644-45d8-b0e9-c6aaf0eff0c0", "846448a5-a26e-4297-ac08-ad7040af20f1", "4b71eb3d-7d55-4967-b80d-91a3f220b60c"]</t>
  </si>
  <si>
    <t>098dbc00-6353-49d5-8a45-346cc4f04b4c</t>
  </si>
  <si>
    <t>all-in-one-reisesuchmaschine-von-enterango</t>
  </si>
  <si>
    <t>All-in-One Reisesuchmaschine von EnterAnGo</t>
  </si>
  <si>
    <t>Für Geschäftsreisende, die sich ihre Reisen selbst organisieren müssen, ist EnterAnGo eine All-in-One Reisesuchmaschine, Buchungs- &amp; Reisemanagementlösung, welche die Reiseplanung &amp; Abrechnung automatisiert._x000D_
_x000D_
Im Gegensatz zu existierenden Lösungen, plant unsere KI-basierte Suchmaschine Reisen weltweit von Tür-zu-Tür und stellt den CO2-Fußabdruck dar.</t>
  </si>
  <si>
    <t>2024-06-11 06:14:46.329934</t>
  </si>
  <si>
    <t>["9c203fec-dc0d-412c-a7a3-7fd77d0346f1", "d3c0a223-516b-4049-9370-22881a0428d8"]</t>
  </si>
  <si>
    <t>847d3111-3a22-4f99-a73c-75d1516ae493</t>
  </si>
  <si>
    <t>pandemieende-at</t>
  </si>
  <si>
    <t>pandemieende.at</t>
  </si>
  <si>
    <t>Diese Seite berechnet das Ende der Corona-Pandemie in Österreich anhand aktueller Zahlen._x000D_
_x000D_
Fallzahlen, Zahlen zu Impfquote, Inzidenzen, Karten uvm.</t>
  </si>
  <si>
    <t>2024-06-11 06:14:49.116163</t>
  </si>
  <si>
    <t>["61cde866-312e-4624-bd7c-e6820c609f2d", "d230c9e8-745a-4da3-a3b4-86842591d9f0", "4b71eb3d-7d55-4967-b80d-91a3f220b60c", "276ffd1e-efdd-42e2-b6c9-04fb5fa2b7ea", "f33dc893-bd57-4e5c-a3b0-e32925f4f6b1"]</t>
  </si>
  <si>
    <t>b82e6ef3-ff25-475a-a71d-11f6448f9c8a</t>
  </si>
  <si>
    <t>offliner-fahrplanauskunft-fur-linz-ag-linien</t>
  </si>
  <si>
    <t>Öffliner: Fahrplanauskunft für LINZ AG LINIEN</t>
  </si>
  <si>
    <t>Öffliner ist die erste moblie Applikation für das iPhone. Öffliner bietet Ihnen einen einfachen und kostenlosen Zugriff auf den gesamten Netzplan der Linz AG Linien. Geben Sie einfach Abfahrts-, Ankunftsort und die gewünschte Uhrzeit an und Öffliner sucht eine passende Verbindung._x000D_
_x000D_
Sie wollen Ihre Bim nicht verpassen?_x000D_
Kein Problem - Öffliner erinnert Sie gerne rechtzeitig an Ihre Fahrt und zeigt Ihnen auch gleich den Weg zur Haltestelle an.</t>
  </si>
  <si>
    <t>2024-06-11 06:14:39.655451</t>
  </si>
  <si>
    <t>["d3c0a223-516b-4049-9370-22881a0428d8", "7562f659-398d-46d7-9167-7f9ccaa00263"]</t>
  </si>
  <si>
    <t>96501b2c-5245-4f94-91b0-8121a63e5e14</t>
  </si>
  <si>
    <t>current-corona-statistics</t>
  </si>
  <si>
    <t>Current Corona Statistics</t>
  </si>
  <si>
    <t>Die Website zeigt Corona Statistiken in der Form von Tabellen, Diagrammen, Karten und Zeitreihen für Österreich und internationale Länder. Dazu werden Daten der folgenden Institutionen extrahiert und in einer relationalen Datenbank gespeichert:_x000D_
_x000D_
ECDC, OCHA, OWID, AGES, BMSGPK._x000D_
_x000D_
Alle Graphiken werden dynamisch mit Google Sheets stündlich mit aktuellen Daten aus dieser Datenbank automatisch neu generiert.</t>
  </si>
  <si>
    <t>2024-06-11 06:14:46.025468</t>
  </si>
  <si>
    <t>["ef8e980b-9644-45d8-b0e9-c6aaf0eff0c0", "4b71eb3d-7d55-4967-b80d-91a3f220b60c", "846448a5-a26e-4297-ac08-ad7040af20f1"]</t>
  </si>
  <si>
    <t>06e149aa-8fc0-4ad0-bef5-b0ed949a44ec</t>
  </si>
  <si>
    <t>ogd-lab</t>
  </si>
  <si>
    <t>OGD Lab</t>
  </si>
  <si>
    <t>Das OGD Lab ist bietet Analysetools und -demos basierend auf OGD und ergänzenden offenen Datenquellen._x000D_
_x000D_
Das Lab Repository umfasst eine Sammlung von Python-Werkzeugen zur Datenaufbereitung und -analyse, sowie zahlreiche Jupyter-Notebooks mit anschaulichen Beispielen.</t>
  </si>
  <si>
    <t>2024-06-11 06:14:47.274401</t>
  </si>
  <si>
    <t>["d9ae1245-158e-4d79-86a4-2d9b3defbedc", "67d4a45f-2031-4dd5-a03d-92f64be7147c", "523ba2e4-8c55-4dde-8acf-39e3621811b0", "336bbdae-a29d-47c5-8c0d-f51affffd44f"]</t>
  </si>
  <si>
    <t>25072a60-9126-428f-8b09-e0d604f42707</t>
  </si>
  <si>
    <t>warpspeed</t>
  </si>
  <si>
    <t>WarpSpeed</t>
  </si>
  <si>
    <t>Ein Experiment zur Messung und Darstellung der Corona-Impfgeschwindigkeiten in den österreichischen Bundesländern.</t>
  </si>
  <si>
    <t>2024-06-11 06:14:48.396409</t>
  </si>
  <si>
    <t>e1f4bcc0-c646-40ce-9b3f-482b8288d301</t>
  </si>
  <si>
    <t>berufsinformationssystem-des-ams-oesterreich-bis</t>
  </si>
  <si>
    <t>Berufsinformationssystem des AMS Österreich (BIS)</t>
  </si>
  <si>
    <t>Das Berufsinformationssystem (BIS) bietet für ca. 500 Berufsuntergruppen Kurzbeschreibungen zu Tätigkeiten, Beschäftigung, Einkommen, berufliche Kompetenzen, zu Aus- und Weiterbildung und vieles mehr (Berufsprofile)._x000D_
_x000D_
Das BIS bietet eine Suchfunktion, bei der die offenen Stellen und BewerberInnen zu den gefundenen Berufen auf einer Österreichkarte dargestellt werden.</t>
  </si>
  <si>
    <t>2024-06-11 06:14:50.474915</t>
  </si>
  <si>
    <t>["bec16f39-2f2f-375a-aa6c-f122d15245d7", "49ca9c40-10d2-41fa-a55e-7b516360ad94"]</t>
  </si>
  <si>
    <t>c2e2bfce-162b-466f-b33d-28d8241e13ce</t>
  </si>
  <si>
    <t>avact-austrian-vaccination-age-case-trends</t>
  </si>
  <si>
    <t>AVACT (Austrian Vaccination Age Case Trends)</t>
  </si>
  <si>
    <t>Through Tableau Dashboard this project aimed to provide the recent condition first dose vaccination program in Austria. Map and charts are automatically update everyday directly after the government updating their own data._x000D_
_x000D_
Map is showing the percentage of all vaccinated group ages for each state with click on each state, you can examine the latest detail total number vaccination first shoot._x000D_
_x000D_
Two charts is provided for showing how the vaccination has been established (timeline cumulative partly vaccinated) and the number of people getting vaccinated for each group.</t>
  </si>
  <si>
    <t>2024-06-11 06:14:48.123973</t>
  </si>
  <si>
    <t>fb402e2d-1e9e-4bdc-b269-c8a305bb5776</t>
  </si>
  <si>
    <t>erdbebenvisualisierung</t>
  </si>
  <si>
    <t>Erdbebenvisualisierung</t>
  </si>
  <si>
    <t>Visualisierung der Erdbebendaten von ZAMG.ac.at auf der Weltkarte</t>
  </si>
  <si>
    <t>2024-06-11 06:14:48.259636</t>
  </si>
  <si>
    <t>["9100472e-bf26-49e2-90df-64c436521157"]</t>
  </si>
  <si>
    <t>f1ed7ee9-be77-4f6c-98ad-8a81b51b6404</t>
  </si>
  <si>
    <t>lagekarte-info</t>
  </si>
  <si>
    <t>Lagekarte.info</t>
  </si>
  <si>
    <t>Ein Online-Tool um während eines (Blaulicht-) Einsatzes auf der Lagekarte eine Lageführung führen zu können. Wird auch gerne zur Vorbereitung von Übungen verwendet.</t>
  </si>
  <si>
    <t>2024-06-11 06:14:48.062306</t>
  </si>
  <si>
    <t>f2b1c584-4f3f-42c5-97c7-8cd44318d8b5</t>
  </si>
  <si>
    <t>die-daten-von-data-gv-at</t>
  </si>
  <si>
    <t>Die Daten von data.gv.at</t>
  </si>
  <si>
    <t>Verschiedene Visualisierungen zeigen das Datenangebot von data.gv.at und erlauben verschiedene Auswertungen.</t>
  </si>
  <si>
    <t>2024-06-11 06:14:50.438705</t>
  </si>
  <si>
    <t>20aeaca8-4033-4ad7-983d-67657209916c</t>
  </si>
  <si>
    <t>vcoe-check-wo-es-zu-viel-laerm-und-abgase-gibt</t>
  </si>
  <si>
    <t>VCÖ-Check: Wo es zu viel Lärm und Abgase gibt</t>
  </si>
  <si>
    <t>Die öffentlich zugängliche Web-Anwendung ermöglicht es problematische Stellen im Öffentlichen Raum in eine Online-Karte einzutragen und zu beschreiben um sie für andere Benutzer der Anwendung sichtbar zu machen. Die gesammelten Daten werden zudem anschließend anonymisiert an geeignete Stellen weitergeleitet.</t>
  </si>
  <si>
    <t>2024-06-11 06:14:49.486208</t>
  </si>
  <si>
    <t>ebe8d395-ce44-48a5-8833-14c5635543cf</t>
  </si>
  <si>
    <t>hydrogeo-wien</t>
  </si>
  <si>
    <t>HydroGeo Wien</t>
  </si>
  <si>
    <t>QGIS-Cloud Webmap mit thematischen Layern bzgl. hydrologischen und geowissenschaftlichen OGD - Daten in Wien</t>
  </si>
  <si>
    <t>2024-06-11 06:14:48.295649</t>
  </si>
  <si>
    <t>["ac4c2ac5-6be4-4471-bbf4-f09228f5db04", "ac478f32-3e3b-4c04-bc7d-aa75069b6367", "9886476f-9c2f-46c8-bf37-06870d1e7338", "371f7f97-e7ad-4335-a4f9-0d1ca4daa1ec", "4f5a37d7-6055-40b6-9cdd-de55a9ab5248", "88bf0348-80c8-4b62-a3d1-45a0cedb802d", "5ea10ba1-3577-407a-893b-175247a9bf4a", "af63a0a0-0f6b-4534-92d3-63902fb91b03", "2ee6b8bf-6292-413c-bb8b-bd22dbb2ad4b", "da8fc842-d9cd-4a8b-9dcf-642ebdbc9049", "98efb700-353d-49fb-bdca-0f7081b36140", "c5e36bed-6c29-41bf-89e1-79ded8aae72d", "43839325-6125-4d5e-9fd7-d3e6ed6a2401", "b411c576-e81b-490b-9c5b-8ef36f4f542d", "d025f670-5719-417e-8750-07b9178e7d92", "e57d4a00-fc78-4e48-a110-ae3951b5c031", "cef007c8-5836-47a4-b45a-60eb587db17e", "eec2fb76-3b7b-4f64-a8d1-2f9778a57adb", "dfa46500-3e09-440b-81c5-77b77ca4f40a", "a766b57e-aefd-41c7-957f-2de3c233d5b8"]</t>
  </si>
  <si>
    <t>553aa803-fcc5-4526-86cd-2b693423427c</t>
  </si>
  <si>
    <t>mitradzurbahn</t>
  </si>
  <si>
    <t>Die Anwendung ermöglicht es österreichweit Bahnhöfe und ihr Umfeld in Bezug auf ihre Fahrradfreundlichkeit zu bewerten und zu kommentieren._x000D_
_x000D_
Bewertungen und Kommentare können in Interaktion mit einer Karte erforscht werden._x000D_
_x000D_
Zusätzlich bietet die Anwendung die Möglichkeit Problemstellen und Good-Practice-Beispiele hinsichtlich der Fahrradinfrastruktur in die Karte einzutragen.</t>
  </si>
  <si>
    <t>2024-06-11 06:14:47.871444</t>
  </si>
  <si>
    <t>56cadc3c-4ddf-46ba-b1b4-ea9f8e2760a9</t>
  </si>
  <si>
    <t>corona-ampel-org-dashboard-und-lokaler-newsletter</t>
  </si>
  <si>
    <t>Corona-Ampel.org - Dashboard und lokaler Newsletter</t>
  </si>
  <si>
    <t>Corona-Ampel.org ist ein kostenfreier Dienst, der täglich die aktuellsten Daten und Visualisierungen aus den Bezirken per E-Mail ausschickt. Außerdem wird ein Daten-Dashboard angeboten.</t>
  </si>
  <si>
    <t>2024-06-11 06:14:46.364039</t>
  </si>
  <si>
    <t>["4b71eb3d-7d55-4967-b80d-91a3f220b60c", "4312623f-2cdc-4a59-bea5-877310e6e48d", "846448a5-a26e-4297-ac08-ad7040af20f1"]</t>
  </si>
  <si>
    <t>7b8cc09e-8558-431a-a3e4-203d32a8632e</t>
  </si>
  <si>
    <t>justimmo-die-maklersoftware</t>
  </si>
  <si>
    <t>Justimmo - Die Maklersoftware</t>
  </si>
  <si>
    <t>Die webbasierte Software unterstützt Sie dabei Ihre Immobilien, Wohnbau- &amp; Gewerbeprojekte erfolgreich zu vermarkten. Mit Justimmo haben Sie mehr Zeit für die individuelle Betreuung Ihrer Kunden - und das auf höchstem Niveau._x000D_
_x000D_
Verpackt in eine schlanke und intuitiv zu bedienende Oberfläche bietet Justimmo sämtliche Verwaltungsfunktionen, die Ihr Maklerbüro für die tägliche Arbeit benötigt. Um Justimmo zu nutzen benötigen Sie lediglich einen Internetzugang. Die Software ist komplett webbasierend und von jedem Gerät aus benützbar – ohne lästige Softwareinstallation. Justimmo ist immer auf dem neuesten Stand und wird laufend weiterentwickelt - so profitieren auch Sie von einer ständig aktuellen Maklersoftware und sind immer am Puls der Zeit</t>
  </si>
  <si>
    <t>2024-06-11 06:14:49.587277</t>
  </si>
  <si>
    <t>["a73befc7-575f-48cb-8eb9-b05172a8c9e3", "254757be-69ef-4a6c-a4c1-1432815d7522"]</t>
  </si>
  <si>
    <t>8fb88a06-3a57-4ef3-9b62-9757646743a1</t>
  </si>
  <si>
    <t>linzwiki-at</t>
  </si>
  <si>
    <t>LinzWiki.at</t>
  </si>
  <si>
    <t>Das LinzWiki präsentiert aktuelles und historisches über Linz an der Donau, der Landeshauptstadt von Oberösterreich. Ähnlich dem erfolgreichen Internet-Projekt Wikipedia ist jeder eingeladen, sein Wissen beizusteuern. Alle Texte stehen wieder unter der freien CC-BY-SA-Lizenz zur Verfügung.</t>
  </si>
  <si>
    <t>2024-06-11 06:14:48.225839</t>
  </si>
  <si>
    <t>["dfa2ff35-d2c4-4196-9989-a1bdbeabbfed", "49f0b668-2a32-475c-86f3-4068cf642519", "e34d45e3-070b-44e7-9a65-7c268fa79fc7", "16bd245e-8f6c-4696-95f3-17be8fe340cb", "fc27bab4-34be-4562-8f77-67eac49e32c5", "53b70911-67ee-459b-a573-130272275a91", "f35b2a10-4d8b-40f3-9eb7-15d84c2f7f58", "a7bfaed4-c1df-4448-894b-8effdfaed52d", "c6bbfc6f-6700-40eb-9537-ab182075c8f8"]</t>
  </si>
  <si>
    <t>0d469e6e-b960-4dc7-906c-15e258d1beee</t>
  </si>
  <si>
    <t>visualisierung-wohnadressen-auf-basis-des-steinhausenplans-von-1720</t>
  </si>
  <si>
    <t>Visualisierung Wohnadressen auf Basis des Steinhausenplans von 1720</t>
  </si>
  <si>
    <t>Im Zuge des Forschungsprojektes VieCPro (&lt;https://viecpro.oeaw.ac.at/&gt;) werden u.a. Wohnadressen des 17. bzw. frühen 18. Jahrhunderts recherchiert. Für die Darstellung einer ersten Stichprobe wurde eine interaktive Karte erstellt, die den georeferenzierten Steinhausenplan von 1710 (Wien Museum) als Kartenlayer im Hintergrund nutzt. Weiterführende Details: &lt;https://habsmon.hypotheses.org/uber&gt;_x000D_
_x000D_
Blogbeitrag zum Projekt: &lt;https://habsmon.hypotheses.org/706&gt;</t>
  </si>
  <si>
    <t>2024-06-11 06:14:49.552859</t>
  </si>
  <si>
    <t>["de139cf2-a8d7-40fc-8a7c-da12e9944d48"]</t>
  </si>
  <si>
    <t>64695d02-b682-4c74-90d6-549baddba18b</t>
  </si>
  <si>
    <t>welche-gesetzesinitiativen-sind-erfolgreich</t>
  </si>
  <si>
    <t>Welche Gesetzesinitiativen sind erfolgreich?</t>
  </si>
  <si>
    <t>Ein Showcase zu Verhandlungsgegenstandsdaten – basierend auf dem Open Data Angebot des Parlaments.</t>
  </si>
  <si>
    <t>2024-06-11 06:14:50.61428</t>
  </si>
  <si>
    <t>["8abc73bb-63b7-44c0-a25d-424ce38e5626", "a6de427c-9d40-4e02-bfd1-9e372feb1de9", "9ca7f012-45c3-47f8-8648-e35e518583dd", "3cfeefdc-d290-4d84-8abe-c7f1b042f418", "58e0db32-8633-48d2-8d6c-0272ba2242ff", "ba564a55-f352-4c80-8329-c1856622383f"]</t>
  </si>
  <si>
    <t>8cdf30f2-84ab-4c8d-8d03-61f6243b398f</t>
  </si>
  <si>
    <t>digi-cycle</t>
  </si>
  <si>
    <t>Digi-Cycle</t>
  </si>
  <si>
    <t>Digi-Cycle zeigt für jedes hinterlegte Produkt die regional gültigen Hinweise zum richtigen Trennen und Sammeln. Der Standort-Finder mit über 10.000 Eintragungen unterstützt beim Auffinden der richtigen Sammelstelle, speziell für seltenere Entsorgungswege bzw. den Außer-Haus-Konsum.</t>
  </si>
  <si>
    <t>2024-06-11 06:14:51.290268</t>
  </si>
  <si>
    <t>["8d482810-26da-4bbc-8599-6b1fd1ab8743", "7cbcdfa7-b7fd-4641-91c9-a6d67873b6a7", "162398d4-b2ea-4674-83d4-2c1d851a521a"]</t>
  </si>
  <si>
    <t>73b3ef29-f654-4288-b991-30457ff2a6da</t>
  </si>
  <si>
    <t>inzidenz-und-intensivbetten</t>
  </si>
  <si>
    <t>Inzidenz und Intensivbetten</t>
  </si>
  <si>
    <t>Die Visualisierung zeichnet Inzidenz und Belegung der Intensivbetten im Rahmen der Covid-19-Pandemie über die vergangenen zwölf Monate nach.</t>
  </si>
  <si>
    <t>2024-06-11 06:14:47.243559</t>
  </si>
  <si>
    <t>["ef8e980b-9644-45d8-b0e9-c6aaf0eff0c0", "846448a5-a26e-4297-ac08-ad7040af20f1"]</t>
  </si>
  <si>
    <t>796e8f37-0037-4f69-bdb2-81f3f6e3d598</t>
  </si>
  <si>
    <t>lilli-linzer-linien-routenplaner-fur-offis-der-linz-ag-linien</t>
  </si>
  <si>
    <t>Lilli - Linzer Linien: Routenplaner für Öffis der LINZ AG LINIEN</t>
  </si>
  <si>
    <t>Lilli ist ein kostenloser Routenplaner für alle Android-Smartphones. Der aktuelle Fahrplan der Linz AG Linien sowie alle Abfahrtszeiten werden unter Berücksichtigung eventueller Verspätungen und Störungen angezeigt.Es können Startpunkt sowie Zielort wahlweise in Form von Haltestellen oder Positionen anhand der Straßenkarte eingegeben werden. Lilli zeigt die gewünschte Route von Tür zu Tür inklusive aller Fußwege._x000D_
_x000D_
Mit Lilli bekommen Sie nun auch unterwegs alle wichtigen Infos für Ihre Reise und das topaktuell._x000D_
_x000D_
Eine angenehme Reise wünscht Lilli!_x000D_
_x000D_
Kurzfassung der Funktionen:_x000D_
* Automatische Anzeige von Abfahrten der nächstgelegenen Haltestellen_x000D_
* Abfahrtszeiten von Haltestellen abfragen (Anzeige in Uhrzeit oder Restminuten möglich)_x000D_
* Echtzeit-prognosedaten sind adaptiert (Verspätungen)_x000D_
* Haltestellen finden und hinführen (inklusive GPS-Navigation)_x000D_
* Routenplaner von Tür zu Tür_x000D_
* Route inklusive Fußwege und Taxi_x000D_
* Haltestellen auf Straßenkarte anzeigen_x000D_
* Anzeige des Linienplans vom Verkehrsbetreiber (inklusive Nightliner)_x000D_
* Alarm-Funktion! zur Erinnerung vor Abfahrt_x000D_
* Favorit! Haltestelle wird bei Startbildschirm oben gereiht_x000D_
* SMS-Ticket-Generator (Kernzone Linz, Single/Tages-Ticket)_x000D_
* Aktuelle Störungsinformationen / Fahrplanänderungen_x000D_
_x000D_
_x000D_
Der Mehrwert von Lilli manifestiert sich in der gewaltigen Download-Anzahl. Mehr als 30.000 Mal wurde die App bereits heruntergeladen (Start: 01.01.2012), wobei sie täglich mehr als 8.000 Personen verwenden.</t>
  </si>
  <si>
    <t>2024-06-11 06:14:39.692254</t>
  </si>
  <si>
    <t>["d3c0a223-516b-4049-9370-22881a0428d8"]</t>
  </si>
  <si>
    <t>9163929f-cbb7-4ab8-a395-12f6604aa926</t>
  </si>
  <si>
    <t>mach-mit</t>
  </si>
  <si>
    <t>Mach mit!</t>
  </si>
  <si>
    <t xml:space="preserve">Mit der „Mach mit!“-App für iPhone, Android und Windows Phone können Bürgerinnen und Bürger Meldungen über Mängel oder Missstände, wie Schlaglöcher, unbürokratisch und rasch an Ihre Gemeinde melden. Für Wien wird das Kartenmaterial der Stadt Wien über die [Stadtplan-Schnittstelle](https://www.data.gv.at/katalog/dataset/332be1f6-5791-43ae-9e37-90cc48e75d24/) mit einer Fülle von Mehrwertfunktionen und einer bislang unerreichten Genauigkeit angeboten. Die Hinweise werden von der App an die Wiener Stadtverwaltung übergeben._x000D_
### Verfügbarkeit_x000D_
_x000D_
_x000D_
* Apple iOS ab Version 4.1_x000D_
* Google Android ab Version 2.1 und_x000D_
* Microsoft Windows Phone ab Version 7.0_x000D_
</t>
  </si>
  <si>
    <t>2024-06-11 06:14:39.797443</t>
  </si>
  <si>
    <t>7723f849-230b-4871-9657-2bda9919d91a</t>
  </si>
  <si>
    <t>spitaler-wien-windows-phone-app</t>
  </si>
  <si>
    <t>Spitäler Wien - Windows Phone App</t>
  </si>
  <si>
    <t>Die App für Windows Phone Endgeräte zeigt die Wiener [Krankenhäuser](https://www.data.gv.at/katalog/dataset/5d642d09-8e03-4200-a79b-2a397a6d5d51/) in Listen- oder Kartendarstellung an.Der Standort der Benutzerin beziehungsweise des Benutzers kann dabei berücksichtigt werden._x000D_
### Verfügbarkeit_x000D_
_x000D_
_x000D_
Die Anwendung erfordert Windows Phone 7.5 oder höher.</t>
  </si>
  <si>
    <t>2024-06-11 06:14:39.895626</t>
  </si>
  <si>
    <t>["5d642d09-8e03-4200-a79b-2a397a6d5d51"]</t>
  </si>
  <si>
    <t>dd64355b-0ffe-4252-b8c9-b39b022f5d8b</t>
  </si>
  <si>
    <t>vienna-events-iphone-app</t>
  </si>
  <si>
    <t>Vienna Events – iPhone App</t>
  </si>
  <si>
    <t>Die iPhone und iPad App verwendet die aktuellen Veranstaltungshinweise der wien.at-Veranstaltungsdatenbank. Tausende Events werden mit Beschreibung, Links und geografischer Verortung angeboten. Von Kunst, Kultur, Sport, Musik, Festen, Bällen oder Partys - alle Arten von Veranstaltungen können gefunden werden. Zusätzlich zur Filterung nach Kategorien kann auch im Umkreis nach nahegelegenen Veranstaltungen gesucht werden._x000D_
_x000D_
Die Anwendung nutzt die Schnittstelle zu den [Inhalten der Wiener Veranstaltungsdatenbank](https://www.data.gv.at/katalog/dataset/b01585af-110f-4f87-9bf1-06805605926c/)._x000D_
### Verfügbarkeit_x000D_
_x000D_
_x000D_
Die Anwendung ist für iPhone, iPod touch und iPad verfügbar. Erfordert iOS 3.1 oder neuer.</t>
  </si>
  <si>
    <t>2024-06-11 06:14:39.925975</t>
  </si>
  <si>
    <t>44dcfffe-80cb-4e0e-a02a-552b80eac33c</t>
  </si>
  <si>
    <t>covid-19-impfungen-nach-altersgruppen-im-zeitverlauf</t>
  </si>
  <si>
    <t>Covid-19-Impfungen nach Altersgruppen im Zeitverlauf</t>
  </si>
  <si>
    <t>Interaktives Diagramm für den Zeitverlauf der Impfungen der einzelnen Altersgruppen. Mit Stand 9.4.2021 gibt es noch keine Website, die ein solches Diagramm anbietet. Am nähesten kommt dem das Impf-Dashboard des ORF, der die Verteilung der Altersgruppen aber nur in täglichen Datensätzen und auch nur in 3 statt wie hier 8 Altersgruppen anbietet._x000D_
_x000D_
Ziel dieser Visualisierung ist es nachzuverfolgen, welche Altersgruppen wann bevorzugt werden oder wurden. Man kann also beispielsweise überprüfen, ob es korrekt ist, dass z.b. älteren Menschen stärker priorisiert werden (es wurden ja doch schon relativ viele Menschen geimpft, die nicht der Risikogruppe angehören).</t>
  </si>
  <si>
    <t>2024-06-11 06:14:48.429952</t>
  </si>
  <si>
    <t>1bcb6def-9027-4e3a-abdc-e1a1f9e3cb53</t>
  </si>
  <si>
    <t>real-estate-transactions-in-vienna</t>
  </si>
  <si>
    <t>Real estate transactions in Vienna</t>
  </si>
  <si>
    <t xml:space="preserve">Explore data on purchasing prices of real estate transactions in Vienna (source: land register), including regulations of the land use and town plan, on-site inspection etc. </t>
  </si>
  <si>
    <t>2024-06-11 06:14:50.835246</t>
  </si>
  <si>
    <t>["c307f89d-b01a-4da2-9f9e-cf3fd2dd651e"]</t>
  </si>
  <si>
    <t>508bce23-2e67-4378-b37b-588e2ec57e28</t>
  </si>
  <si>
    <t>fachglossar-oesterreichische-verwaltung</t>
  </si>
  <si>
    <t>Fachglossar Österreichische Verwaltung</t>
  </si>
  <si>
    <t>Android App zum Datensatz "[Fachglossar Österreichische Verwaltung Deutsch-Englisch](https://www.data.gv.at/katalog/dataset/fc52bf4c-af53-4896-8276-f778f221b20b)"</t>
  </si>
  <si>
    <t>2024-06-11 06:14:51.956864</t>
  </si>
  <si>
    <t>["fc52bf4c-af53-4896-8276-f778f221b20b"]</t>
  </si>
  <si>
    <t>5c00e14a-9fa0-43b0-8b9a-6e91551ae2e4</t>
  </si>
  <si>
    <t>oesterreichs-covid-19-hilfsmassnahmen-tableau-visualisierung</t>
  </si>
  <si>
    <t>Österreichs Covid-19 Hilfsmaßnahmen - Tableau Visualisierung</t>
  </si>
  <si>
    <t>Der Rechnungshof stellt die Daten betreffend öffentlicher Hilfen zwischen März 2020 und Ende Juni 2021 zu Verfügung._x000D_
_x000D_
Die jeweiligen Summen wurden addiert und mittles interaktiver Visualsierung in Form eines Barcharts zur Verfügung gestellt. Die Visualisierung zeigt den Bereich, die Bezeichnung, die Summe der Hilfsmaßnahmen und den externen Empfänger. Die X-Achse ist logarithmisch skaliert.</t>
  </si>
  <si>
    <t>2024-06-11 06:14:49.97821</t>
  </si>
  <si>
    <t>["817af5ea-4b9a-4706-8953-9a122be0166b"]</t>
  </si>
  <si>
    <t>49878c29-0a92-4a7d-a668-8e7c2dbfbc79</t>
  </si>
  <si>
    <t>medicus-online</t>
  </si>
  <si>
    <t>Medicus Online</t>
  </si>
  <si>
    <t>Der Medicus-Online ist eine interaktive Ärztesuche der Ärztekammer für Vorarlberg. Patientinnen und Patienten können auf dieser Plattform die offiziellen Kontaktdaten der Vorarlberger Ärztinnen und Ärzte abrufen.</t>
  </si>
  <si>
    <t>2024-06-11 06:14:47.841409</t>
  </si>
  <si>
    <t>["31416a3d-5a44-4f78-8b2c-765a2738aacc"]</t>
  </si>
  <si>
    <t>0f0b934c-c0ac-48f9-b35e-602c17b53bc9</t>
  </si>
  <si>
    <t>empfehlungen-fuer-data-gv-at-datensaetze</t>
  </si>
  <si>
    <t>Empfehlungen für data.gv.at Datensätze</t>
  </si>
  <si>
    <t>Ein Forschungsprojekt mit Fokus auf Empfehlungsalgorithmen für Datensätze._x000D_
_x000D_
Ziel ist es, ähnliche Datensätze basierend auf Titel, Schlagwörtern, Kategorien und anderen Faktoren zu empfehlen. Die ermittelten Empfehlungen können anonym bewertet werden, um die Qualität der dahinter liegenden Algorithmen zu verbessern.</t>
  </si>
  <si>
    <t>2024-06-11 06:14:51.583888</t>
  </si>
  <si>
    <t>1264176f-7c79-4352-85e0-e4b19c91aef4</t>
  </si>
  <si>
    <t>lostpetsvienna</t>
  </si>
  <si>
    <t>LostPetsVienna</t>
  </si>
  <si>
    <t>Sämtliche Verlustmeldungen, die beim Fundservice für Haustiere der Stadt Wien eingehen, finden dank des APA-Projektteams der „Wiener Dateng’schichten“ Eingang ins Twitter-Universum: Aus den offen verfügbaren Daten  werden automatische Tweets getextet, damit Hund und Katz‘ (und Maus, Schildkröte, Agarporniden usw.) zu ihren rechtmäßigen BesitzerInnen zurück finden. Der Twitter-Feed ist eines der Ergebnisse aus dem Projekt, das von der Wirtschaftsagentur Wien gefördert wird.</t>
  </si>
  <si>
    <t>2024-06-11 06:14:48.154645</t>
  </si>
  <si>
    <t>["dcb4ba1d-94c6-48b9-82c9-e315bd0e8f31"]</t>
  </si>
  <si>
    <t>186e399b-a0b6-4cc8-a4bf-c846651b5aa0</t>
  </si>
  <si>
    <t>ama-flaechenauswertung</t>
  </si>
  <si>
    <t>AMA Flächenauswertung</t>
  </si>
  <si>
    <t>In der AMA werden über den Mehrfachantrag-Flächen jährlich Angaben über die Größe von landwirtschaftlichen Kulturflächen in Österreich erhoben. Diese Daten sind die Basis dieser Anwendung und stehen ab dem Antragsjahr 2016 zur Verfügung. Ausgewiesen werden die Kulturflächen insgesamt (Summe aus konventioneller und biologischer Wirtschaftsweise). Die Daten werden einmal jährlich aktualisiert.</t>
  </si>
  <si>
    <t>2024-06-11 06:14:47.74241</t>
  </si>
  <si>
    <t>da014105-3ac4-4eb9-982d-b89af002a53a</t>
  </si>
  <si>
    <t>pvsol-premium</t>
  </si>
  <si>
    <t>PV*SOL premium</t>
  </si>
  <si>
    <t>Die Planungs- und Simulationssoftware für Photovoltaik-Systeme PV\*SOL premium ist ein dynamisches Simulationsprogramm mit 3D-Visualisierung und detaillierter Verschattungsanalyse zur Berechnung von Photovoltaik-Systemen in Kombination mit Verbrauchern, Batteriesystemen und Elektrofahrzeugen._x000D_
_x000D_
Mit PV\*SOL premium, dem Branchenstandard für Photovoltaik-Planungsprogramme, können alle Arten von modernen PV-Anlagen geplant und simuliert werden. Von der kleinen Aufdach-Anlage mit einigen wenigen Modulen über mittelgroße Anlagen auf Gewerbe-Dächern bis hin zu großen Solarparks – PV\*SOL premium unterstützt durch zahlreiche Auslegungs- und Design-Tools bei der Planung.</t>
  </si>
  <si>
    <t>2024-06-11 06:14:47.965266</t>
  </si>
  <si>
    <t>["e640951d-4179-44ed-a9cb-9e42169e9b48", "fa96d249-2f58-48ce-bb3f-bb18b447ffc8", "a0535d6d-4c34-4524-9591-e9e51e3d28c4"]</t>
  </si>
  <si>
    <t>28337e42-afe8-4ecc-92c3-2a955f1a4f4d</t>
  </si>
  <si>
    <t>fair-data-austria-database-repository</t>
  </si>
  <si>
    <t>FAIR Data Austria Database Repository</t>
  </si>
  <si>
    <t>Database preservation frequently happens post-factum: databases are transferred and migrated into preservation formats and environments after a project has ended. This increases the risks concerning incompatibility and pushes the preservation burden after the initial lifetime and use of the data. We propose a database repository infrastructure, where databases are created, used and preserved directly in the data curation environment. This increases the FAIRness of the data curated as professional data stewardship activities accompany the databases right from the onset. We present the FAIR Data Austria Database Repository (FDA-DBRepo) infrastructure and provide a first version of an open-source reference implementation.</t>
  </si>
  <si>
    <t>2024-06-11 06:14:47.710676</t>
  </si>
  <si>
    <t>["a4686c70-aefd-4db5-8c4d-412e162722bc"]</t>
  </si>
  <si>
    <t>6b404f37-227d-4498-8712-7c7681f0d534</t>
  </si>
  <si>
    <t>visualisierungen-von-bevolkerungsstatistiken</t>
  </si>
  <si>
    <t>Visualisierungen von Bevölkerungsstatistiken</t>
  </si>
  <si>
    <t>Mittels der Visualisierungswerkzeuge der Webseite [DataMaps.eu](http://www.datamaps.eu/) wurden statistische Daten zum Themenbereich Bevölkerung auf Bezirksebene abgebildet._x000D_
_x000D_
Die Anwendung nutzt Datensätze zur Wiener Bevölkerung.</t>
  </si>
  <si>
    <t>2024-06-11 06:14:40.023895</t>
  </si>
  <si>
    <t>["8b9c7679-fa9c-4d29-85fe-c85a934d79b4", "526e6fdf-9159-4f68-9450-32d4162381ff"]</t>
  </si>
  <si>
    <t>ae7413c5-1ce0-4d6d-87c9-50b317723c45</t>
  </si>
  <si>
    <t>gueltige-impfzertifikate-nach-gemeinden</t>
  </si>
  <si>
    <t>Gültige Impfzertifikate nach Gemeinden</t>
  </si>
  <si>
    <t>Entwicklung der gültigen Impfzertifikate nach Gemeinden Österreichs im Wochenabstand_x000D_
_x000D_
Fortsetzung der bisherigen Visualisierung "[Anteil der vollimmunisierten Personen nach Gemeinden](https://www.data.gv.at/anwendungen/covid-19-vollimmunisierungsgrad-oesterreichs-nach-gemeinden/)"</t>
  </si>
  <si>
    <t>2024-06-11 06:14:49.08361</t>
  </si>
  <si>
    <t>["4532a95c-95e8-44da-9bac-9d56e8ab39c2", "d230c9e8-745a-4da3-a3b4-86842591d9f0"]</t>
  </si>
  <si>
    <t>62380dd0-1d2b-4bf4-9bf7-47ba0125d84f</t>
  </si>
  <si>
    <t>arbeitsmarktdaten-oesterreich</t>
  </si>
  <si>
    <t>Arbeitsmarktdaten Österreich</t>
  </si>
  <si>
    <t>Eine Sammlung interaktiver Visualisierungen zu Arbeitsmarktdaten in Österreich, die vom Arbeitsmarktservice veröffentlicht wurden/werden.</t>
  </si>
  <si>
    <t>2024-06-11 06:14:49.357381</t>
  </si>
  <si>
    <t>["CFE2FF7E9AD33C1EE053C630070AB101", "CFE25C2336D833E7E053C630070A709E", "CFE2FF7E9AD53C1EE053C630070AB105", "9a4e5d24-93db-3c4e-8e45-c4f291d59e55", "3174dad5-a408-36e8-b75e-af18d0969129", "CFE2FF7E9AD43C1EE053C630070AB103"]</t>
  </si>
  <si>
    <t>c262efdf-a46f-4d14-a9ba-abee05292c49</t>
  </si>
  <si>
    <t>mapcolpal-your-pal-for-cartographic-color-palettes</t>
  </si>
  <si>
    <t>MapColPal - your pal for cartographic color palettes</t>
  </si>
  <si>
    <t>MapColPal ist eine Web-Anwendung, die beim Erstellen von Farbpaletten für die kartographische Visualisierung hilft._x000D_
_x000D_
Daten von data.gv.at werden als Beispieldaten auf Stadt-Ebene genutzt.</t>
  </si>
  <si>
    <t>2024-06-11 06:14:50.236388</t>
  </si>
  <si>
    <t>["2ee6b8bf-6292-413c-bb8b-bd22dbb2ad4b", "898afe8c-0297-45d6-b4b5-0cb9e632094b"]</t>
  </si>
  <si>
    <t>701bb6a1-6e1e-4c38-8927-d66fc9c755ed</t>
  </si>
  <si>
    <t>grenzstein-datenbank-oesterreich-catastrum</t>
  </si>
  <si>
    <t>Grenzstein-Datenbank Österreich (CATASTRUM)</t>
  </si>
  <si>
    <t>In der Grenzstein-Datenbank Österreich werden besonders markante oder historisch wertvolle Grenzsteine gespeichert und auf der Karte angezeigt. Zusätzlich werden Links zu ähnlichen Datenbanken sowie generelle weiter Informationen zu Grenzsteinen angeboten._x000D_
_x000D_
Die Grenzstein-Datenbank wurde als Ergänzung zur Initiative der Österreichischen Gesellschaft für Vermessung und Geoinformation (OVG), die gemeinsam mit den Vermessungsingenieuren aus anderen europäischen Partnerinstitutionen versucht, das „Das Netzwerk der Grenzen und die Grenzsteine“ als Weltkulturerbe zu etablieren, aufgebaut und wird nunmehr privat weiterbetrieben._x000D_
_x000D_
Alle an Grenzsteinen interessierte Personen können Fotos von schönen historischen Grenzstein mit Beschreibungen senden an: [elisabeth.janeschitz@grenzsteine.at](mailto:elisabeth.janeschitz@grenzsteine.at). Die Einsendungen werden verortet und mit den Beschreibungen publiziert.</t>
  </si>
  <si>
    <t>2024-06-11 06:14:47.77783</t>
  </si>
  <si>
    <t>3dff9c58-9a62-4ae4-a6cb-f0878e5605c2</t>
  </si>
  <si>
    <t>covid-vergleich-2020-zu-2021</t>
  </si>
  <si>
    <t>Covid-Vergleich 2020 zu 2021 Salzburg und Bezirk Hallein</t>
  </si>
  <si>
    <t>Vergleich der Inzidenzzahlen im Bundesland Salzburg und Bezirk Hallein einschließlich der Zahlen zu den belegten Krankenhausbetten und Intensivbetten in Salzburg.</t>
  </si>
  <si>
    <t>2024-06-11 06:14:48.557537</t>
  </si>
  <si>
    <t>ae4f2ee3-e240-4ce0-b15e-8f180859a56e</t>
  </si>
  <si>
    <t>lagekarte-online-oegek</t>
  </si>
  <si>
    <t>Lagekarte.online | ÖGEK</t>
  </si>
  <si>
    <t>Die Lagekarte.online der Österreichischen Gesellschaft für Entwicklungszusammenarbeit und Katastrophenhilfe basiert auf open Source Kartenmaterial und beinhaltet mehrere Layer in denen die taktischen Zeichen des integrierten Katastrophenmanagement nach Önorm S2308 eingebunden sind. Mit der Lagekarte können integrierte Stäbe plattformübergreifend und gemeinsam auf mehreren Karten arbeiten, welche übereinander gelegt werden können. Eine client-basierte Programmierung ermöglicht auch das Weiterarbeiten bei Internetausfall.</t>
  </si>
  <si>
    <t>2024-06-11 06:14:49.251098</t>
  </si>
  <si>
    <t>c97b1453-8c31-4863-8e25-45739c398cb7</t>
  </si>
  <si>
    <t>jede-stimme-at</t>
  </si>
  <si>
    <t>jede-stimme.at</t>
  </si>
  <si>
    <t>Sammlung aller Wahlergebnisse von Wahlen auf Landes- und Bundesebene</t>
  </si>
  <si>
    <t>2024-06-11 06:14:49.325724</t>
  </si>
  <si>
    <t>["3179c5b2-9bb5-4a7f-a573-5491ccb0110b", "09716341-2bea-4298-9525-e936d8247d19", "8becadda-124e-43f3-900e-f1ab685574e5"]</t>
  </si>
  <si>
    <t>f7cea2f0-6ff3-455b-8587-f2eb2e77d7ce</t>
  </si>
  <si>
    <t>kappazunder-kennenlernen</t>
  </si>
  <si>
    <t>Kappazunder Kennenlernen</t>
  </si>
  <si>
    <t>Mit dem digitalen Bild-Datendienst "[Kappazunder](https://digitales.wien.gv.at/projekt/kappazunder/)" wird das Wiener Stadtgebiet dreidimensional dargestellt. Arbeitsprozesse in der Stadtverwaltung können damit effizienter gestaltet werden._x000D_
_x000D_
Dieser Blogpost analysiert den ersten öffentlichen [Kappazunder Testdatensatz](https://www.data.gv.at/katalog/dataset/4a2203cb-ed49-4e51-8f41-0bdfd821e9c3), beschreibt die Inhalte und zeigt die Daten in QGIS.</t>
  </si>
  <si>
    <t>2024-06-11 06:14:48.524247</t>
  </si>
  <si>
    <t>["4a2203cb-ed49-4e51-8f41-0bdfd821e9c3"]</t>
  </si>
  <si>
    <t>10439fe0-9da1-4671-b542-749efccfe06d</t>
  </si>
  <si>
    <t>stadtkatalog-org</t>
  </si>
  <si>
    <t>StadtKatalog.org</t>
  </si>
  <si>
    <t>Im Kern ist der StadtKatalog eine frei nutzbare Lokalitäten-Datenbank, welche sowohl nutzergenerierte, als auch automatisierte Daten sammelt, standardisiert, und allen frei zugänglich macht. Statt dieses Feld kommerziellen Anbieter zu überlassen, sammelt die Bewohnerschaft selbst Informationen zusammen. Langfristig getragen von (semi-)professionellen Stakeholdern, die als Katalysator agieren und für hohe Datenqualität sorgen._x000D_
_x000D_
Die Adressuche basiert auf OGD-Daten der Stadt Wien. Zusätzlich werden alle Adressen vor dem Import aufbereitet und GROSSSCHREIBUNG normalisiert und Abkürzungen ausgeschrieben.</t>
  </si>
  <si>
    <t>2024-06-11 06:14:48.753599</t>
  </si>
  <si>
    <t>["1d5c2411-9719-4c8f-b99d-57a5f4a4ae41", "2c54f4d6-5712-4e5a-a025-b7f7a396c39b"]</t>
  </si>
  <si>
    <t>06a1ab93-3b41-4563-ae6e-fe9f4c971e3b</t>
  </si>
  <si>
    <t>klimadashboard</t>
  </si>
  <si>
    <t>Klimadashboard</t>
  </si>
  <si>
    <t>Wo steht Österreich in der Klimakrise? Welche Auswirkungen können wir bereits beobachten und kommen wir dem Ziel der Klimaneutralität näher? Das Klimadashboard hilft, diese Fragen zu beantworten, faktenbasiert und verständlich aufbereitet. Die Darstellungen des Dashboards werden laufend weiterentwickelt und um neue Datensätze ergänzt. So wird die Klimakrise greifbar – in Österreich und darüber hinaus.</t>
  </si>
  <si>
    <t>2024-06-11 06:14:49.622037</t>
  </si>
  <si>
    <t>["78bd7b69-c1a7-456b-8698-fac3b24f7aa5"]</t>
  </si>
  <si>
    <t>e469f23c-49f5-4fb7-ab6c-74b39c728a35</t>
  </si>
  <si>
    <t>wie-veraendert-sich-die-zusammensetzung-des-nationalrats</t>
  </si>
  <si>
    <t>Wie verändert sich die Zusammensetzung des Nationalrats?</t>
  </si>
  <si>
    <t>Ein Showcase zu Abgeordnetendaten – basierend auf dem Open Data Angebot des Parlaments.</t>
  </si>
  <si>
    <t>2024-06-11 06:14:50.689221</t>
  </si>
  <si>
    <t>["5d5214cc-9667-4132-8f23-9b0cf842cee6"]</t>
  </si>
  <si>
    <t>08c45a46-4440-4230-af33-778dfc0dd9db</t>
  </si>
  <si>
    <t>corona-dashboard-2</t>
  </si>
  <si>
    <t>Öffentliches Dashboard mit COVID-19 Daten.</t>
  </si>
  <si>
    <t>2024-06-11 06:14:52.259554</t>
  </si>
  <si>
    <t>["6cb3abed-6c76-47f2-bf40-2ddbea78cb35"]</t>
  </si>
  <si>
    <t>0378ddff-be95-4e34-a74f-1963ba6e85a1</t>
  </si>
  <si>
    <t>wl-transit</t>
  </si>
  <si>
    <t>Wl-tranit ist eine simple Browser-Page, weiters gedacht als [PWA](https://de.wikipedia.org/wiki/Progressive_Web_App), mit der man alle Abfahrtzeiten von Öffis der [Wiener Linien](https://www.wienerlinien.at) in einem bestimmten Radius auf einen Blick sehen kann.</t>
  </si>
  <si>
    <t>2024-06-11 06:14:52.327063</t>
  </si>
  <si>
    <t>9b8ceddd-7149-4341-a77f-039536538313</t>
  </si>
  <si>
    <t>raspberry-pi-dashboard</t>
  </si>
  <si>
    <t>Raspberry Pi Dashboard</t>
  </si>
  <si>
    <t>Das Raspberry Pi Dashboard stellt für den Anwender relevante Daten auf einen Blick dar. Unter anderem auch aktuelle Abfahrtszeiten für die vom Benutzer angegebenen Linien und Haltestellen der Wiener Linien._x000D_
_x000D_
Unterstützung für einen zukaufbaren Bewegungsmelder stellt einen Stromsparenden Betrieb sicher._x000D_
_x000D_
Das Projekt ist vollständig Open Source und sollte auf allen aktuellen Raspberry Pi Modellen funktionieren die einen HDMI Anschluss haben.</t>
  </si>
  <si>
    <t>2024-06-11 06:14:49.88072</t>
  </si>
  <si>
    <t>4068e7ab-00c7-4b3f-9356-6c270ed4eedd</t>
  </si>
  <si>
    <t>allryder-2</t>
  </si>
  <si>
    <t>Allryder</t>
  </si>
  <si>
    <t>Allryder provides comparable route planning information for urban travel. It enables you to compare the time and cost of any given journey across multiple transport mediums, in order to find the most-suitable routes for users needs. Users get real-time information and are navigated for the entire duration of the journey.  Moreover, Allryder provides information on trains, trams, buses, taxis and car-sharing services such as Car2Go and DriveNow. This provides comprehensive coverage in one simple, easy-to-use app. Allryder has already proven successful with wins at the Mobile Tech Conference 2014 in Munich for the best travel and mobility app and is successfully growing and developing an extensive and dedicated userbase.</t>
  </si>
  <si>
    <t>2024-06-11 06:14:40.819974</t>
  </si>
  <si>
    <t>665de072-9b9e-428d-aa71-00107b6296fd</t>
  </si>
  <si>
    <t>aquarinthia-alexa-skill</t>
  </si>
  <si>
    <t>Aquarinthia -Alexa Skill</t>
  </si>
  <si>
    <t>Kärnten ist voller Seen und der AQUArinthia Amazon Alexa Skill ermöglicht es dir mittels deinem Amazon oder Echo oder Echo Dot Informationen zu diesen Seen zu erhalten._x000D_
_x000D_
Du kannst Alexa nutzen um mittels "Alexa, frage Aquarinthia wie warm der Wörthersee ist" Seetemperaturen oder mittels "Alexa, frage Aquarinthia wie hoch der Pegelstand des Keutschacher ist" Pegelstände abzufragen._x000D_
_x000D_
Um den Skill zu installieren verwende deine Alexa Companion auf deinem Smartphone und suche unter Skills nach "Aquarinthia"._x000D_
_x000D_
Dieser Skill ist OpenSource! Den SourcCode der aktuellen Version findet ihr auf GitHub -&gt; &lt;https://github.com/salendron/aquarinthia-alexa-skill&gt;_x000D_
_x000D_
Alle Daten dieser App stammen aus dem Open Government Data (OGD) Portal des Landes Kärnten und stehen unter der Creative Commons Namensnennung 3.0 Österreich Lizenz.</t>
  </si>
  <si>
    <t>2024-06-11 06:14:40.957237</t>
  </si>
  <si>
    <t>23405b07-6f25-4367-aca5-e8e12d4cd49d</t>
  </si>
  <si>
    <t>vivent-at</t>
  </si>
  <si>
    <t>vivent.at</t>
  </si>
  <si>
    <t xml:space="preserve">Das Portal für Kultur und Freizeit in Wien bietet Wissenswertes und Informationen zu Top-Locations wie Adresse, Öffnungszeiten und Preise auf einen Blick. </t>
  </si>
  <si>
    <t>2024-06-11 06:14:49.053102</t>
  </si>
  <si>
    <t>016f31a2-a5ec-4327-909f-b145102a2cf6</t>
  </si>
  <si>
    <t>ccd-guide</t>
  </si>
  <si>
    <t>CCD-Guide</t>
  </si>
  <si>
    <t>Tool für die Astrofotografie-Planung</t>
  </si>
  <si>
    <t>2024-06-11 06:14:49.147696</t>
  </si>
  <si>
    <t>["e04221bc-7309-48b8-bffd-77655c626b8d"]</t>
  </si>
  <si>
    <t>90359ef4-d9bc-4421-a963-b2cfc23d5971</t>
  </si>
  <si>
    <t>shadowmap-your-interface-to-the-sun</t>
  </si>
  <si>
    <t>Shadowmap – your interface to the Sun</t>
  </si>
  <si>
    <t>Shadowmap kombiniert globale 3D Daten (Gebäude &amp; Geländeformen, bald auch Bäume) mit einem präzisen Sonnenmodell in einer interaktiven App, die es ermöglicht, an jedem Ort und zu jeder Zeit Sonnenschatten zu visualisieren.</t>
  </si>
  <si>
    <t>2024-06-11 06:14:49.779557</t>
  </si>
  <si>
    <t>["25b694ad-802b-4f64-bcbc-09897b0dcbf7"]</t>
  </si>
  <si>
    <t>370acbec-18ac-467d-ad00-fcbeffc870a8</t>
  </si>
  <si>
    <t>weather-bzed-org</t>
  </si>
  <si>
    <t>weather.bzed.org</t>
  </si>
  <si>
    <t>weather.bzed.org ist vor allem als Wetter-Informationsquelle für Paragleiter und Drachenflieger in Salzburg gedacht, bietet aber auch ein Dashboard mit den Wetterdaten der ZAMG</t>
  </si>
  <si>
    <t>2024-06-11 06:14:49.217472</t>
  </si>
  <si>
    <t>a3256c2b-0010-45f3-b8f4-0130bdb75db2</t>
  </si>
  <si>
    <t>woparkeich</t>
  </si>
  <si>
    <t>WoParkeIch</t>
  </si>
  <si>
    <t>Die Anwendung erlaubt eine Auswahl derjenigen Bezirke mit flächendeckenden Kurzparkzonen, für welche man ein Parkpickerl besitzt. Danach wird die aktuelle Position angezeigt, sowie die berechtigten Zonen (inklusive Überlappungszonen, entspricht den Geltungsbereichen) orange hinterlegt._x000D_
_x000D_
Die ausgewählten Bezirke können via eines Favoriten im Browser für einen schnellen nächsten Aufruf hinterlegt werden.</t>
  </si>
  <si>
    <t>2024-06-11 06:14:49.520492</t>
  </si>
  <si>
    <t>["71a6ca86-228a-4b57-b1bc-c3b887dd009e", "6858b208-62bc-424e-9d7b-c89b74d3d3e3", "2c54f4d6-5712-4e5a-a025-b7f7a396c39b"]</t>
  </si>
  <si>
    <t>b984047a-3e8d-4ae5-969c-969c51cdd380</t>
  </si>
  <si>
    <t>covid-19-dashboard-oesterreich-3</t>
  </si>
  <si>
    <t xml:space="preserve">Interaktives Dashboard zum COVID-19 Verlauf in Österreich:_x000D_
* positiv getestete Personen, Kranke, Genesene, Verstorbene und Krankenhausbelegungen_x000D_
* 7-Tage Schnitt + 7 Tage-Inzidenz_x000D_
* positive Tests [%]_x000D_
* Infizierte pro Bezirk und pro Bundesland_x000D_
* Corona Ampel_x000D_
</t>
  </si>
  <si>
    <t>2024-06-11 06:14:49.183153</t>
  </si>
  <si>
    <t>["ef8e980b-9644-45d8-b0e9-c6aaf0eff0c0", "4b71eb3d-7d55-4967-b80d-91a3f220b60c", "52abfc2b-031c-4875-b838-653abbfccf4e", "846448a5-a26e-4297-ac08-ad7040af20f1"]</t>
  </si>
  <si>
    <t>7ad20143-d96b-4176-8baf-ecbc60197e0a</t>
  </si>
  <si>
    <t>wasser-in-wien</t>
  </si>
  <si>
    <t>Wasser in Wien</t>
  </si>
  <si>
    <t>Wasser in Wien - Finde die nächsten öffentlichen Wasserstellen, Schwimmbäder, Badestellen, Toiletten, Trinkbrunnen, Sprühnebelduschen und Hundetrinkbrunnen in Wien.</t>
  </si>
  <si>
    <t>2024-06-11 06:14:50.139252</t>
  </si>
  <si>
    <t>["2ed52078-7e55-40ea-8036-0d89118a06f4", "7c6e9dbf-487b-4146-a379-19e46642c392", "898afe8c-0297-45d6-b4b5-0cb9e632094b", "146384fc-3f64-4482-a78a-2f082411a27d", "2c54f4d6-5712-4e5a-a025-b7f7a396c39b"]</t>
  </si>
  <si>
    <t>067f74a5-9460-40d7-842a-2450cb66755c</t>
  </si>
  <si>
    <t>gefoerderte-neubau-sanierungsprojekte-in-wien</t>
  </si>
  <si>
    <t>Geförderte Neubau- &amp; Sanierungsprojekte in Wien</t>
  </si>
  <si>
    <t>Auf einer Map sind geförderte Wohnbauprojekte (Neubau &amp; Sanierung) dargestellt und mit Informationen (Fotos &amp; Beschreibung) hinterlegt</t>
  </si>
  <si>
    <t>2024-06-11 06:14:49.455257</t>
  </si>
  <si>
    <t>e6a02c67-f1bb-40f0-8803-a8939e286564</t>
  </si>
  <si>
    <t>analyse-der-toten-und-das-verhaeltnis-zu-covid</t>
  </si>
  <si>
    <t>Analyse der Toten und das Verhältnis zu Covid</t>
  </si>
  <si>
    <t>Die Anwendung zeigt eine interaktive Analyse der Todesfälle in Österreich._x000D_
_x000D_
Sie macht deutlich, wie leicht man mit gängigen Opensource Bibliotheken eine Analyse betreiben kann und versucht mittels Polynomialer Regression und deren Ableitung an bestimmten Punkten eine Zusammenhang zwischen Todesfällen und Covid erkennen zu lassen._x000D_
_x000D_
Im veröffentlichenten Notebook finden Sie noch weitere Erläuterungen._x000D_
_x000D_
Der Nutzer:in steht es frei, das Opensource Projekt selbständig zu adpatieren oder zu erweitern._x000D_
_x000D_
Zweck der Analyse war es auch ein Ziel, die Visualisierungen selbständig mit eigenen Daten überprüfen zu können.</t>
  </si>
  <si>
    <t>2024-06-11 06:14:50.108345</t>
  </si>
  <si>
    <t>["d3b85461-fc0d-3639-9aa9-39211c4ecade", "f33dc893-bd57-4e5c-a3b0-e32925f4f6b1"]</t>
  </si>
  <si>
    <t>cb0d08b6-cfab-45d2-b8e2-6174d4ae0a05</t>
  </si>
  <si>
    <t>interaktive-grafiken-covid-19-struktur-und-umfang-der-finanziellen-hilfsmassnahmen</t>
  </si>
  <si>
    <t>Interaktive Grafiken: COVID-19 – Struktur und Umfang der finanziellen Hilfsmaßnahmen</t>
  </si>
  <si>
    <t>Der Rechnungshof bietet interaktive Grafiken zu den öffentlichen Hilfen zwischen März 2020 und Ende Juni 2021.</t>
  </si>
  <si>
    <t>2024-06-11 06:14:49.913815</t>
  </si>
  <si>
    <t>4e1338fd-27b8-4561-9510-87bbd6a02bfd</t>
  </si>
  <si>
    <t>parksheriff-handy-parken</t>
  </si>
  <si>
    <t>ParkSheriff - Handy Parken</t>
  </si>
  <si>
    <t xml:space="preserve">Update: diese App ist leider nicht mehr in den App-Stores verfügbar._x000D_
_x000D_
**SMS Parken leicht gemacht**_x000D_
_x000D_
ParkSheriff unterstützt Sie beim Kaufen von Parkscheinen über das Handy._x000D_
_x000D_
Wichtigste Features:_x000D_
* Parkscheine kaufen einfach wie nie. Keine Internetverbindung notwendig._x000D_
* Kennzeichenverwaltung_x000D_
* Liste aller per SMS Parken gekauften Parkscheine_x000D_
* Aufladen von Parkguthaben_x000D_
* Business Parken (nur für handyparken.at Kunden)_x000D_
* Carfinder – so finden Sie Ihr Auto garantiert wieder(Zusatzkauf)_x000D_
* Karte der gebührenpflichtigen Parkzonen in Wien (Zusatzkauf)_x000D_
</t>
  </si>
  <si>
    <t>2024-06-11 06:14:41.442663</t>
  </si>
  <si>
    <t>ede03db1-b4bf-412b-8a97-a24911cea24e</t>
  </si>
  <si>
    <t>animierte-landkarte-der-wahlergebnisse-der-nrw-17-19</t>
  </si>
  <si>
    <t>Animierte Landkarte der Wahlergebnisse der NRW 17/19</t>
  </si>
  <si>
    <t>Animiertes Cartogram, das für alle österreichischen Gemeinden und Wiener Bezirke die Partei mit den meisten stimmen darstellt. Das Cartogram oszilliert zwischen geografisch korrekter Darstellung und einer verzerrten Darstellung, bei der die Größe jeder Gemeinde der Wahlberechtigtenzahl entspricht.</t>
  </si>
  <si>
    <t>2024-06-11 06:14:41.412289</t>
  </si>
  <si>
    <t>["8becadda-124e-43f3-900e-f1ab685574e5", "6d731e6e-7dcf-4bde-8061-d0e195f62f6c"]</t>
  </si>
  <si>
    <t>39591423-6c84-45d8-b198-1ea29551158c</t>
  </si>
  <si>
    <t>optimize-png-mbtiles</t>
  </si>
  <si>
    <t>Kommandozeilenwerkzeuge zur Größenoptmierung der basemap.at Verwaltungskarte Raster(!) Offline._x000D_
_x000D_
Mittels pngquant werden die PNG Raster Kacheln innerhalb der basemapat\_standard16.MBTiles Datei in ihrer Größe reduziert._x000D_
_x000D_
Bei maximaler Kompression und trotzdem geringer visueller Unterschiede werden so aus den ursprünglich +16GB etwa 4.6GB._x000D_
_x000D_
Durch die Speicherplatzreduzierung ist eine offline Verwendung deutlich einfacher zu handhaben.</t>
  </si>
  <si>
    <t>2024-06-11 06:14:42.294184</t>
  </si>
  <si>
    <t>["703fce40-6116-4836-aca4-7dddc33912ab"]</t>
  </si>
  <si>
    <t>72cf1e12-9102-45f9-9de9-9f2e1c64957b</t>
  </si>
  <si>
    <t>wmts-hoehenmodell-oesterreich-10m</t>
  </si>
  <si>
    <t>WMTS Höhenmodell Österreich 10m</t>
  </si>
  <si>
    <t>Das Höhenmodell Österreichs von geoland.at mit 10 m räumlicher Auflösung ist nun auch als WMTS–Service frei über das Internet verfügbar._x000D_
_x000D_
Für den einfachen und raschen Download für Ihr Projektgebiet („bounding box“) gibt es für ArcGIS 10.x und Q-GIS 3.x fertige Pythonbibliotheken._x000D_
_x000D_
Der Gesamtdownload des gesamten Höhenmodells Österreichs ist nun nicht mehr notwendig._x000D_
_x000D_
Weitere Informationen und Vorteile für die Nutzung des WMTS-Standard für die Bereitstellung und Abfrage von punktbasierten thematischen Informationen (z.B: Höhendaten, ...) finden Sie unter dieser URL:_x000D_
_x000D_
&lt;https://netidee.at/gps-info/gpsinfo-freie-datenbereitstellung-fuer-open-data-psi-richtlinie&gt;</t>
  </si>
  <si>
    <t>2024-06-11 06:14:42.924788</t>
  </si>
  <si>
    <t>bf4e12ec-37e0-4dfa-872d-95a37fc6fe34</t>
  </si>
  <si>
    <t>wird-redezeit-gleich-auf-maenner-und-frauen-verteilt</t>
  </si>
  <si>
    <t>Wird Redezeit gleich auf Männer und Frauen verteilt?</t>
  </si>
  <si>
    <t>Ein Showcase zu Plenarsitzungsdaten – basierend auf dem Open Data Angebot des Parlaments.</t>
  </si>
  <si>
    <t>2024-06-11 06:14:50.649974</t>
  </si>
  <si>
    <t>["285022f8-59c5-4462-9417-c35f350a52d4", "5d5214cc-9667-4132-8f23-9b0cf842cee6"]</t>
  </si>
  <si>
    <t>7b7b75bf-36a8-4964-8054-d624ad3bbe80</t>
  </si>
  <si>
    <t>stadtplan3d</t>
  </si>
  <si>
    <t>Stadtplan3D</t>
  </si>
  <si>
    <t>Die Stadtvermessung Wien (MA 41) stellt für das Wiener Stadtgebiet zahlreiche Geodaten zur Verfügung. Die Stadtplan3D-Webapplikation bietet Benutzer\*innen die Möglichkeit, online Situation, Gelände und thematische Darstellungen dreidimensional einzusehen sowie Messungen und Simulationen vorzunehmen._x000D_
_x000D_
Neben 3D-Gebäude- und 3D-Brückenmodellen können auch Vegetationspunktwolken, Schrägluftbilder und ein 3D-Mesh betrachtet werden._x000D_
_x000D_
Die Schrägluftbilder von ganz Wien können in Stadtplan3D bezogen werden.</t>
  </si>
  <si>
    <t>2024-06-11 06:14:51.650438</t>
  </si>
  <si>
    <t>["43839325-6125-4d5e-9fd7-d3e6ed6a2401", "bcba4f91-27b7-4950-90a7-cecee4617a8b", "86d88cae-ad97-4476-bae5-73488a12776d", "214a3e63-31aa-47de-a49c-5ea5a80330ed", "2aada6af-9aaa-42ae-98f2-8d974b278280", "25b694ad-802b-4f64-bcbc-09897b0dcbf7", "bb86970f-3cef-4f9a-a79b-ff277ea925c8"]</t>
  </si>
  <si>
    <t>7dfbe42e-363b-46f8-83a3-993d778add73</t>
  </si>
  <si>
    <t>auskunftsbegehren-adressdatenbank</t>
  </si>
  <si>
    <t>Auskunftsbegehren Adressdatenbank</t>
  </si>
  <si>
    <t>Eine Datenbank mit Kontaktdaten wichtiger österreichischer staatlicher und privater Datenverarbeitern, vor allem für die Verwendung zur Durchsetzung der Betroffenenrechte nach der DSGVO.</t>
  </si>
  <si>
    <t>2024-06-11 06:14:52.025868</t>
  </si>
  <si>
    <t>3eaf6811-dc6e-439f-a9dc-20f96e9fa5d4</t>
  </si>
  <si>
    <t>gesetzefinden-at</t>
  </si>
  <si>
    <t>GesetzeFinden.at</t>
  </si>
  <si>
    <t>[GesetzeFinden.at](https://gesetzefinden.at) bietet einen kostenfreien Zugang zum österreichischen Recht mit einem speziellen Fokus auf Benutzerfreundlichkeit._x000D_
_x000D_
Für eine gesunde Demokratie braucht es einfachen Zugang zu Informationen. GesetzeFinden.at verknüpft bereits vorhandene Informationen miteinander, beginnend mit dem österreichischen Recht. Aktuell finden Sie die wichtigsten Entscheidungen &amp; Rechtssätze, Verfassungsgesetze, Bundesgesetze und Verordnungen auf GesetzeFinden.at.</t>
  </si>
  <si>
    <t>2024-06-11 06:14:51.420343</t>
  </si>
  <si>
    <t>79410523-0481-450f-9713-5454c4a91bd0</t>
  </si>
  <si>
    <t>webkappa-kappazunder-web-viewer</t>
  </si>
  <si>
    <t>webKappa - Kappazunder Web Viewer</t>
  </si>
  <si>
    <t>Proof of concept eines Webclients für die Kappazunder Befahrungsdaten der Stadt Wien - quasi ein "Street View" basierend auf offenen Daten._x000D_
_x000D_
Per Klick in die Karte auf einen der blauen Punkte kann eine Position ausgewählt werden, es startet dann das Panorama an dieser Stelle. Über die kleine Karte rechts unten können benachbarte Positionen ausgewählt werden - eine Navigation direkt im Bild (wie von Google Street View bekannt) ist derzeit noch nicht zuverlässig möglich._x000D_
_x000D_
Aktuell nur einige Wenige Straße/Orte zu besichtigen, aufgrund der großen Datenmengen dauert die Anforderung und der Download leider einige Zeit._x000D_
_x000D_
Hinweis 17.4.2023: die Anwendung ist noch nicht mobile ready</t>
  </si>
  <si>
    <t>2024-06-11 06:14:51.387621</t>
  </si>
  <si>
    <t>["9586a616-48e4-46c8-b418-1432f2515407", "2c54f4d6-5712-4e5a-a025-b7f7a396c39b"]</t>
  </si>
  <si>
    <t>e73d8f37-89fb-4a19-a6e9-55f612a441ca</t>
  </si>
  <si>
    <t>hafla-stadt-entdecken</t>
  </si>
  <si>
    <t>hafla - Stadt entdecken</t>
  </si>
  <si>
    <t>Verlierst du schnell den Überblick bei der Freizeitplanung?_x000D_
_x000D_
Jetzt ist es so einfach wie noch nie Aktivitäten mit Freunden zu organisieren und dabei neue coole Abenteuer erleben!_x000D_
_x000D_
Hafla ist eine App zum Planen und Verwalten deiner Aktivitäten mit Freunden. Es verbindet dich über dein Telefonbuch mit deinen Freunden, die Hafla verwenden!_x000D_
_x000D_
Erstelle eine Veranstaltung, lade deine Freunde ein und los geht's!_x000D_
_x000D_
In einem Gruppenchat könnt ihr die Details besprechen und ganz einfach die Veranstaltung verwalten._x000D_
_x000D_
Keine Ahnung was du morgen machen sollst? Hafla hilft auch hier! Wir schlagen dir örtliche Aktivitäten vor, die dir gefallen könnten!_x000D_
_x000D_
Nachdem du die richtige Aktivität entdeckt hast, organisiere sie einfach mit deinen Freunden über Hafla!</t>
  </si>
  <si>
    <t>2024-06-11 06:14:43.132151</t>
  </si>
  <si>
    <t>["45d684ca-6ad7-4c5e-a721-64aa31795824", "b01585af-110f-4f87-9bf1-06805605926c"]</t>
  </si>
  <si>
    <t>7f8e5d50-1815-4393-a1cb-c360e5536672</t>
  </si>
  <si>
    <t>uhrschnell</t>
  </si>
  <si>
    <t>Uhrschnell</t>
  </si>
  <si>
    <t xml:space="preserve">Die App Uhrschnell zeigt dir Abfahrtszeiten für öffentliche Verkehrsmittel in Wien (Wiener Linien) in der Nähe an._x000D_
Die App wurde vom Entwickler in seiner Freizeit programmiert und wird von ihm selbst sehr häufig verwendet. Der Name setzt sich aus dem wienerischen „Ur“ (=sehr) und „Schnell“ zusammen._x000D_
_x000D_
Funktionen_x000D_
* Abfahrtszeiten in Echtzeit und Countdown-Anzeige_x000D_
* Anzeige von Verspätungen und Störungen_x000D_
* Favoriten für Abfahrtsorte_x000D_
* Haltestellenliste_x000D_
* Suchfunktion (Haltestelle, Verkehrsmittel)_x000D_
_x000D_
_x000D_
Besonderheiten_x000D_
* Uhrschnell ist urschnell ?_x000D_
* Kein iPhone erforderlich_x000D_
* Moderne App-Architektur_x000D_
* Alles ist so einfach, wie möglich gestaltet_x000D_
</t>
  </si>
  <si>
    <t>2024-06-11 06:14:43.19909</t>
  </si>
  <si>
    <t>43f7f419-9a70-4e61-bc1c-47d81e2afcde</t>
  </si>
  <si>
    <t>tesseyla-map</t>
  </si>
  <si>
    <t>tesseyla map</t>
  </si>
  <si>
    <t>Eine maßgeschneiderte Karte als Web App für das Infotainment des Tesla Model 3 oder Model Y die im Fahrzeug Browser aufzurufen ist. Zeigt alle Ladestationen von Tanke Wien (Wien Energie) in der Umgebung an. Hilfreich wenn man durch Wien fährt oder sich seinem Ziel nähert. Die nächstgelegenen Ladestationen sind somit bequem und schnell zu finden.</t>
  </si>
  <si>
    <t>2024-06-11 06:14:51.55039</t>
  </si>
  <si>
    <t>["336bbdae-a29d-47c5-8c0d-f51affffd44f"]</t>
  </si>
  <si>
    <t>bd836e2c-70ac-44cc-8240-e93aa8ea676c</t>
  </si>
  <si>
    <t>echtzeitdaten-von-oeffis-via-mqtt-esp32-xiao-opendata</t>
  </si>
  <si>
    <t>Echtzeitdaten von Öffis via MQTT &amp; ESP32 XIAO &amp; OpenDATA</t>
  </si>
  <si>
    <t>Echtzeitdaten von den Wienerlinien werden in Node-RED aufbereitet und per MQTT an einen ESP32 gesendet. Inhalte werden auf einem 0,91" OLED Display dargestellt._x000D_
_x000D_
Anleitung für Auswertung in Node-RED und die Implementierung auf dem ESP32 Code:_x000D_
_x000D_
Teil1: &lt;https://www.youtube.com/watch?v=Q4mJABBju4k&gt;_x000D_
_x000D_
Teil2: &lt;https://www.youtube.com/watch?v=X78qFAfWfE0&gt;_x000D_
_x000D_
Verdrahtung und Code ist auf github.com/pixeledi zu finden._x000D_
_x000D_
Viel Spaß beim Nachbauen!</t>
  </si>
  <si>
    <t>2024-06-11 06:14:52.428672</t>
  </si>
  <si>
    <t>f7baf002-9cac-4345-9186-034aec5e66b6</t>
  </si>
  <si>
    <t>lametric-abfahrtsmonitor</t>
  </si>
  <si>
    <t>LaMetric Abfahrtsmonitor</t>
  </si>
  <si>
    <t>Zeigt die nächsten Abfahrten (inkl. Echtzeitabweichungen, wenn vorhanden) an einer Haltestelle der Wiener Linien auf einem LaMetric Device.</t>
  </si>
  <si>
    <t>2024-06-11 06:14:51.748106</t>
  </si>
  <si>
    <t>a40e6b56-e37b-414a-9e61-e28f70888c50</t>
  </si>
  <si>
    <t>flyforfun-at</t>
  </si>
  <si>
    <t>flyforfun.at</t>
  </si>
  <si>
    <t>Wetterseite des FlyForFun Paragleitvereins mit Wetterdaten auf dem Gaisberg (Salzburg)</t>
  </si>
  <si>
    <t>2024-06-11 06:14:52.229211</t>
  </si>
  <si>
    <t>["bad388c1-e13f-484d-ba51-331a79537f5f"]</t>
  </si>
  <si>
    <t>cbc409f8-b88d-4068-bd2b-90863d283aa9</t>
  </si>
  <si>
    <t>oesterreich-gv-at-digitales-amt</t>
  </si>
  <si>
    <t>oesterreich.gv.at/Digitales Amt</t>
  </si>
  <si>
    <t>Website und App mit Services für Bürger: Hauptwohnsitz melden, Geburt melden, Reisepass Benachrichtigungen, Wahlkarten beantragen, PDFs signieren, etc.</t>
  </si>
  <si>
    <t>2024-06-11 06:14:52.059998</t>
  </si>
  <si>
    <t>663d442e-d2b8-4808-810b-ae7bb3a92538</t>
  </si>
  <si>
    <t>wiener-mietenrechner</t>
  </si>
  <si>
    <t>Wiener-Mietenrechner</t>
  </si>
  <si>
    <t>Auf der Webseite &lt;https://wiener-mietenrechner.at&gt; kann die gesetzlich höchstzulässige Miete für Altbauwohnungen berechnet werden._x000D_
_x000D_
Neben hunderten Verweisen auf Gesetzesstellen und Judikatur fanden auch auch zahlreiche OGD-Daten Eingang in die Berechnung.</t>
  </si>
  <si>
    <t>2024-06-11 06:14:52.198342</t>
  </si>
  <si>
    <t>["1d5c2411-9719-4c8f-b99d-57a5f4a4ae41", "7cf0da04-1f77-4321-929e-78172c74aa0b", "7a8aae59-71a4-4500-b38b-bdf15c7f627f", "38aac30b-6b79-4fee-88f0-a37b2e6c0f92", "4b2261f6-d431-4e3a-9537-56a670ac80b9", "bcba4f91-27b7-4950-90a7-cecee4617a8b", "eab5ce18-827f-44a8-a206-e56f772dfa8b", "2f5baa1f-208c-42c2-8d04-9ea74aa1b229", "02ad6e25-2698-405f-a37b-99745b1ac69c", "845a19d8-b6d7-430d-8ff3-a1e499c9ac5e", "35102370-ad3b-41e5-a5c3-567750be2711", "cef007c8-5836-47a4-b45a-60eb587db17e", "214a3e63-31aa-47de-a49c-5ea5a80330ed", "87282445-a02d-4f7f-9bf6-196d73d9b3a9", "a5987f3c-3131-4e6e-b91c-fe0756e69926", "c307f89d-b01a-4da2-9f9e-cf3fd2dd651e"]</t>
  </si>
  <si>
    <t>705a21fd-e60c-4b01-a1bf-4a07caafc28e</t>
  </si>
  <si>
    <t>dort-wien-2</t>
  </si>
  <si>
    <t>dort! wien</t>
  </si>
  <si>
    <t>dort! wien, der Spazierführer für Entdeckungsreisende in der Großstadt. Diese Webapp verknüpft die audiovisuellen Guides der Plattform dort! Geschichten über Orte mit den kulturell interessanten Daten der Stadt Wien. Vor einem Gemeindebau steht eine Skulptur. Wer war die Künstlerin? An diesem Platz stand einst eine Synagoge. Hören Sie den Kantor singen. Wieviele Nepomukstatuen gibt es in Wien? Finden Sie alle. Entdecken Sie alte Ansichten der Stadt, hören Sie Gedichte entlang den Wiener Literaturwanderwegen, erklimmen Sie die Barrikaden der Revolution von 1848. Besuchen Sie die touristischen Highlights oder entdecken Sie kleine Spezialmuseen oder informieren Sie sich am Wiener Protestwanderweg, wie Bürger- und Bürgerinnenbewegungen die Stadt verändert haben. Diese App klingelt tatsächlich, wenn Sie einen "Point of Interest" passieren. Wählen Sie eines der Kapitel aus oder einfach die Funktion "In der Nähe", die Ihnen alle Points of Interest im Umkreis vom 1 km zeigt._x000D_
_x000D_
dort! wien wird laufend erweitert. Mit Stand November 2014 gibt es 3.200 Einträge in folgenden Kapiteln:_x000D_
* Top Locations in Wien (Open Data)_x000D_
* Museen und Sammlungen in Wien (Open Data)_x000D_
* Kunst im öffentlichen Raum (Open Data)_x000D_
* Wiener Literaturwanderwege (dort! Geschichten über Orte)_x000D_
* Februar 1934 Wien (dort! Geschichten über Orte)_x000D_
* Rotes Wien (dort! Geschichten über Orte)_x000D_
* Jüdisches Wien (dort! Geschichten über Orte)_x000D_
* Erster Wiener Protestwanderweg (dort! Geschichten über Orte)_x000D_
* Revolution 1848 (dort! Geschichten über Orte)_x000D_
* Weihnachtsmärkte und Silvesterstände (Open Data)_x000D_
* Citybike in Wien (Open Data)_x000D_
* Carsharing in Wien (Open Data)_x000D_
* WCs in Wien (ohne U-Bahn-Stationen) (Open Data)_x000D_
_x000D_
_x000D_
Sie wollen selbst einen audiovisuellen Guide gestalten? Die Plattform dort! bietet auch dafür die Möglichkeit.</t>
  </si>
  <si>
    <t>2024-06-11 06:14:46.890787</t>
  </si>
  <si>
    <t>["45d684ca-6ad7-4c5e-a721-64aa31795824", "3ff63cf5-8d04-4be5-9449-96411ae9fc36", "6f412521-2e9b-44b1-a3e4-8f1358caef63", "16c7fa5b-e2ac-4558-b76c-506766d3949d", "523ba2e4-8c55-4dde-8acf-39e3621811b0", "72fbf32e-c8c3-4914-92a1-66dc2439a114", "146384fc-3f64-4482-a78a-2f082411a27d"]</t>
  </si>
  <si>
    <t>a07f96f6-56f5-47d9-96d3-3c5dfb1cb311</t>
  </si>
  <si>
    <t>public-toilets-in-vienna-2</t>
  </si>
  <si>
    <t>Public Toilets in Vienna</t>
  </si>
  <si>
    <t>Public Toilets in Vienna zeigt dir alle verfügbaren Toiletten die es in deiner Nähe gibt._x000D_
_x000D_
Die App achtet zudem penibel auf die Öffnungszeiten der WCs und ermöglicht es dir, alle Toiletten wegzufiltern, die im Moment geschlossen oder aus irgendeinem Grund unzugänglich sind._x000D_
_x000D_
Toiletten, die behindertengerecht gestaltet sind, werden entsprechend gekennzeichnet. Toiletten für Menschen mit Behinderungen sind manchmal nur mit einem speziellen "euro-key" zugänglich. Dies ist ebenso gekennzeichnet, damit du selbst beim Vergessen des Schlüssels immer noch schnellstmöglich die beste Alternative finden kannst._x000D_
_x000D_
Neben den umliegenden WCs berechnet die App auch Gehzeit sowie die genaue Route, um schnellstmöglich zur Toilette zu gelangen.</t>
  </si>
  <si>
    <t>2024-06-11 06:14:47.143761</t>
  </si>
  <si>
    <t>["146384fc-3f64-4482-a78a-2f082411a27d", "2c54f4d6-5712-4e5a-a025-b7f7a396c39b"]</t>
  </si>
  <si>
    <t>77197743-2ceb-44f0-814e-a48803d8c447</t>
  </si>
  <si>
    <t>epaper-eink-lawinenlagebericht-visualisierung</t>
  </si>
  <si>
    <t>ePaper/eInk Lawinenlagebericht Visualisierung</t>
  </si>
  <si>
    <t>Das ePaper/eInk Display zeigt den aktuellen Lawinenlagebericht. Das Display wird durch eine 600mAH LiPo Batterie betrieben. Der ESP32 Mikrocontroller aktualisiert die Daten stündlich und ist sonst im Tiefschlafmodus, um Energie zu sparen._x000D_
_x000D_
Die Daten vom Lagebericht werden zuerst an einem Backend (Node-RED) aufbereitet und via MQTT an den ESP32 übermittelt._x000D_
_x000D_
Verdrahtung und Code ist auf [github.com/pixeledi](https://github.com/pixeledi) zu finden.</t>
  </si>
  <si>
    <t>2024-06-11 06:14:52.292447</t>
  </si>
  <si>
    <t>["e2e7100e-7094-48cf-9d6d-146a52c8dd8b", "9a78b016-2cb4-4be3-aecd-60ff99b4f356", "b04b81d6-eba4-4ec3-b35d-130df9fd716b"]</t>
  </si>
  <si>
    <t>c6d918f0-deb2-4abc-91aa-c94af5d12af1</t>
  </si>
  <si>
    <t>snow-maps-3d</t>
  </si>
  <si>
    <t>Snow Maps 3D</t>
  </si>
  <si>
    <t>Snow Maps 3D bietet Ski- und Snowboarders eine detaillierte 3D-Landkarte mit Pisten- und Liftinformationen sowie Informationen zu POIs (ab der Saison 2018/2019) aktuell für über 150 Skigebiete weltweit._x000D_
Mit dieser App findest du dich in jedem Skigebiet zurecht. Mittels GPS zeigen wir dir deine Position im Skigebiet genau an und bieten dir die Möglichkeit, den Standort mit Freunden und Familienmitgliedern in Echtzeit zu teilen. _x000D_
_x000D_
 </t>
  </si>
  <si>
    <t>2024-06-11 06:14:37.919138</t>
  </si>
  <si>
    <t>["28c9e877-36e7-4ced-896e-6bead8f9e190", "e527be89-5193-43b2-8388-1f7feee2f8fd", "294de677-b02d-4a74-b189-cc04fa820d96"]</t>
  </si>
  <si>
    <t>941c3eba-bf08-4f32-afd8-5f26d04de6cb</t>
  </si>
  <si>
    <t>wiki-loves-earth</t>
  </si>
  <si>
    <t>Wiki Loves Earth</t>
  </si>
  <si>
    <t>Fotowettbewerb der Wikimedia Foundation</t>
  </si>
  <si>
    <t>2024-06-11 06:14:38.764845</t>
  </si>
  <si>
    <t>["8ab79cf0-3549-11e2-81c1-0800200c9a66", "df8824f0-3555-11e2-81c1-0800200c9a66"]</t>
  </si>
  <si>
    <t>b2469863-36cd-487d-b240-374a36f6431f</t>
  </si>
  <si>
    <t>feinstaub-graz</t>
  </si>
  <si>
    <t>Feinstaub Graz</t>
  </si>
  <si>
    <t>Die Anwendung zeigt den aktuelle Tagesmittelwert für Feinstaub (PM10).</t>
  </si>
  <si>
    <t>2024-06-11 06:14:29.734562</t>
  </si>
  <si>
    <t>["58a2e0c0-1cf9-11e2-892e-0800200c9a66"]</t>
  </si>
  <si>
    <t>0dd50d81-c7fb-4b3e-8228-98c7cff26578</t>
  </si>
  <si>
    <t>accessible-vienna</t>
  </si>
  <si>
    <t>Accessible Vienna</t>
  </si>
  <si>
    <t>The main objective of the "Accessible Vienna" application is to support citizens or visitors with special needs in the city of Vienna. It is not only the infrastructure of the city that is important for their daily activities but also the information about the various places (e.g. restaurants, cafés, theaters) and public facilities (e.g. parking places, subway stations, etc.). "Accessible Vienna" is combining the Open Government Data of Vienna with the Google Places Data in order to materialize the main idea of the application. In this respect, it gathers information from the municipal data about parking spaces that are designed for people with disabilities, subway stations with elevators, accessible restaurants, cafés and theaters. This data is linked with data retrieved from the Google Places API regarding details about the accessible places (i.e. photos, ratings, website, Google+ and opening hours). Thus, the user is enabled to both choose an accessible place like any citizen by checking photos, ratings and other venue related information, and find information about the availability of the required public services (parking spaces, accessible subway stations) to reach the destination._x000D_
_x000D_
Youtube:_x000D_
_x000D_
https://www.youtube.com/watch?v=AWblyobrJDk</t>
  </si>
  <si>
    <t>2024-06-11 06:14:47.483298</t>
  </si>
  <si>
    <t>["4315e096-f51e-4b56-8235-57be9789a62c", "aac2629e-495d-4468-9c8b-cd9649bd7b5d"]</t>
  </si>
  <si>
    <t>2f6e2695-6b1b-4d94-8033-3f25769c2f5b</t>
  </si>
  <si>
    <t>feuerwehreinsatz-info</t>
  </si>
  <si>
    <t>Feuerwehreinsatz.info</t>
  </si>
  <si>
    <t>feuerwehreinsatz.info ist ein Service der FF Kuchl, Saalfelden und St. Johann und stellt in Echtzeit die notwendigen Informationen bei Alarmeinsätzen zur Verfügung. Dadurch kann der Einsatzort schneller aufgefunden werden. Es gibt durch die Objekdatenbank viele Möglichkeiten, verschiedene Information (Brandschutzpläne, Wasserbezugsorte, Liftdaten u.v.m.) zu hinterlegen und im Einsatz- bzw. Übungsfall, aufzurufen. Das Beste an der ganzen Sache - feuerwehreinsatz.info ist kostenlos und wird von vielen Feuerwehrmitgliedern ehrenamtlich unterstützt.</t>
  </si>
  <si>
    <t>2024-06-11 06:14:39.124221</t>
  </si>
  <si>
    <t>["31416a3d-5a44-4f78-8b2c-765a2738aacc", "da54b586-c25d-44b8-a786-c1d31e4b5cb2", "2c54f4d6-5712-4e5a-a025-b7f7a396c39b"]</t>
  </si>
  <si>
    <t>f5503566-7395-495f-91ff-543a1c0efb39</t>
  </si>
  <si>
    <t>feinstaub-graz-3</t>
  </si>
  <si>
    <t xml:space="preserve">Darstellung der Feinstaubdaten von drei Grazer Messstationen in einer Web-App sowie Bereitstellung der Daten in einem sogenannten "Alexa Skill". </t>
  </si>
  <si>
    <t>2024-06-11 06:14:41.597769</t>
  </si>
  <si>
    <t>481dbd11-33a6-4dcd-950b-ccde56e9f079</t>
  </si>
  <si>
    <t>mountain-peaks-comparison</t>
  </si>
  <si>
    <t>Mountain peaks comparison</t>
  </si>
  <si>
    <t>Compare OpenStreetMap dataset with OGD Salzburg in order to find peaks present in OGD but missing in OSM.</t>
  </si>
  <si>
    <t>2024-06-11 06:14:43.163831</t>
  </si>
  <si>
    <t>["359c515c-4320-42ef-b4e5-88ba1bb03c2e"]</t>
  </si>
  <si>
    <t>872ed73b-9081-4095-9d09-6e3b22e2d90a</t>
  </si>
  <si>
    <t>spitalsmappe</t>
  </si>
  <si>
    <t>Spitalsmappe</t>
  </si>
  <si>
    <t>Spitalsmappe hat es sich zur Aufgabe gemacht, Sanitäterinnen, Sanitätern sowie anderem präklinischen Personal die Navigation von A nach B zu erleichtern und stellt dafür Daten zu wichtigen Einrichtungen im Gesundheitswesen aufbereitet zur Verfügung.</t>
  </si>
  <si>
    <t>2024-06-11 06:14:47.644922</t>
  </si>
  <si>
    <t>["f1f6f15d-2faa-4b62-b78b-80599dd1c66e", "4e5c9414-2886-462e-b19f-a598ad065522", "4f677177-23bc-4f0a-8dbf-578762c8d976", "b0408646-3c6a-490e-aee4-b61a1824f9b8", "a000f9a9-e053-4b27-8836-239181d0a3a5", "e7065317-1d57-434a-8428-efa263ecc526", "5ea10ba1-3577-407a-893b-175247a9bf4a", "573060f0-80c8-4141-b355-80ebd94ef87a"]</t>
  </si>
  <si>
    <t>26f1dc2d-d482-4901-8191-18477bc370cd</t>
  </si>
  <si>
    <t>bing-maps</t>
  </si>
  <si>
    <t>Bing Maps</t>
  </si>
  <si>
    <t xml:space="preserve">Bing Maps ist ein kostenloser Online-Kartendienst von Microsoft, durch den sich verschiedene raumbezogene Daten betrachten und raumbezogene Dienste nutzen lassen. Es handelt sich um eine Weiterentwicklung des MSN Virtual Earth und ist Teil der Suchmaschine Bing. Die Daten und Dienste werden durch die Bing-Maps-for-Enterprise-Plattform zur Verfügung gestellt und schließt Satellitenbilder und Luftbilder ein._x000D_
Im sogenannten Transit-Bereich (für Verbindungen des öffentlichen Personenverkehrs) werden Haltestellen und Fahrpläne der Wiener Linien sowie mehrerer hundert anderer Verkehrsunternehmen und -verbünde in der Welt abgebildet, um so das größte existierende Transit-Netzwerk zu bilden. In Zukunft ist in diesem Zusammenhang auch die Abbildung von Echtzeitverbindungen geplant. </t>
  </si>
  <si>
    <t>2024-06-11 06:14:47.676914</t>
  </si>
  <si>
    <t>["ab4a73b6-1c2d-42e1-b4d9-049e04889cf0", "1eda4b16-05e3-43c3-b5b0-ef8276df0701"]</t>
  </si>
  <si>
    <t>05f867d2-16ea-4268-bcdd-b8612bf3d920</t>
  </si>
  <si>
    <t>standortanalyse-zur-standortsuche-in-wien</t>
  </si>
  <si>
    <t>Standortanalyse zur Standortsuche in Wien</t>
  </si>
  <si>
    <t>Die wichtigste Entscheidung im Leben eines/r (künftigen) Unternehmers/In ist die Entscheidung nach der Wahl des Standortes. Verschiedenste Faktoren wirken auf ein Unternehmen ein. Notwendige Passantenfrequenz, Kaufkraft, Einzugspotentiale, Wohnbevölkerung oder Infrastruktur um nur einige zu nennen. Die richtige Standortwahl kann wesentlich zu Ihrem Unternehmenserfolg beitragen!_x000D_
_x000D_
Das ServiceCenter Geschäftslokale der Wirtschaftskammer Wien bietet kostenlose Standortanalysen für den zukünftigen Unternehmensstandort an und verwendet unter anderem die frei zugänglichen Daten der Stadt Wien.</t>
  </si>
  <si>
    <t>2024-06-11 06:14:49.653293</t>
  </si>
  <si>
    <t>["36a8b9e9-909e-4605-a7ba-686ee3e1b8bf", "6858b208-62bc-424e-9d7b-c89b74d3d3e3", "354f9aa0-2f0a-4cdf-9b60-d023da93cc76", "aa8876c7-9711-4969-b428-34400f2d0dbe", "298e6b5a-21a8-4d56-9484-1bac58c94a26", "5d642d09-8e03-4200-a79b-2a397a6d5d51", "87f121a7-eef0-4be9-9372-a5efe5b4d375", "28a7419c-f432-4e1a-b0a6-aa9e71968a14", "523ba2e4-8c55-4dde-8acf-39e3621811b0", "72fbf32e-c8c3-4914-92a1-66dc2439a114", "be2e0197-57b8-4fcf-a144-cb33f7466f3a", "029b31b2-c3b9-4a7b-8e03-c58a2b4da4b7"]</t>
  </si>
  <si>
    <t>01c75c37-8c12-486a-a1c3-b053707b0a84</t>
  </si>
  <si>
    <t>cherry-blossom-map-wo-finde-ich-japanische-kirschbluetenbaeume</t>
  </si>
  <si>
    <t>Cherry Blossom Map - Wo finde ich japanische Kirschblütenbäume?</t>
  </si>
  <si>
    <t>Frühling ist die Zeit der japanischen Kirschblüte. Die schönsten Orte zu finden, wo die einzelnen Bäume blühen, ist gar nicht so einfach. Basierend auf den offenen Daten ‚Baumkataster‘ der Städte Innsbruck, Linz und Wien sowie 23 weiteren europäischen Städten sind die Standorte von (japanischen) Kirschbäumen lokalisiert. Die BürgerInnenApp ‚Cherry Blossom Map‘ ist ein einfaches Tool, um Bäume in seiner Umgebung zu finden und den nächsten Frühlingsspaziergang zu planen. Im Sinne einer Smart City können digitale und offene Daten Einwohnern und Touristen ihre grüne Umgebung näher bringen und zeigen dabei auch eine mögliche Nutzung des Datensatzes ‚Baumkataster‘.</t>
  </si>
  <si>
    <t>2024-06-11 06:14:49.716191</t>
  </si>
  <si>
    <t>["c91a4635-8b7d-43fe-9b27-d95dec8392a7", "df4cc7ae-ead7-49aa-bcb8-b018f169162d", "f660cf3f-afa9-4816-aafb-0098a36ca57d"]</t>
  </si>
  <si>
    <t>38a2c8ec-b087-4d49-be33-e940387894a1</t>
  </si>
  <si>
    <t>benvenuti-a-vienna</t>
  </si>
  <si>
    <t>Benvenuti a Vienna</t>
  </si>
  <si>
    <t xml:space="preserve">Italian community in Vienna_x000D_
_x000D_
The website_x000D_
1. collects news from the City of Vienna and translates them to Italian language_x000D_
2. collects events within vienna and translates them to Italian language_x000D_
3. it has also a set of useful links_x000D_
4. it has a number of whatsapp groups and a telegram community for Italians_x000D_
</t>
  </si>
  <si>
    <t>2024-06-11 06:14:51.45079</t>
  </si>
  <si>
    <t>["b01585af-110f-4f87-9bf1-06805605926c", "2e0129ab-c9bd-4679-a987-30fd5008472a"]</t>
  </si>
  <si>
    <t>4f3a3866-c358-49af-b777-306ebb108622</t>
  </si>
  <si>
    <t>rainbow-road</t>
  </si>
  <si>
    <t>Rainbow Road</t>
  </si>
  <si>
    <t>Eine Karte aller Regenbogen-Zebrastreifen in Österreich._x000D_
_x000D_
Das Datenset basiert auf Medienberichten und Hinweisen auf fehlende Einträge und ist unter einer Open Data Lizenz veröffentlicht (CC BY-SA 4.0).</t>
  </si>
  <si>
    <t>2024-06-11 06:14:51.616464</t>
  </si>
  <si>
    <t>53a67085-0330-48e7-95bf-f65ac221633d</t>
  </si>
  <si>
    <t>webarchiv-api-tutorials</t>
  </si>
  <si>
    <t>Webarchiv API Tutorials</t>
  </si>
  <si>
    <t xml:space="preserve">In mehreren Jupyter Notebooks wird gezeigt, wie die Daten des [Webarchivs der Österreichischen Nationalbank](https://www.data.gv.at/auftritte/?organisation=nationalbibliothek) genutzt werden können._x000D_
_x000D_
Ausgewählte Tutorials:_x000D_
* Tracking von Änderungen im Sitzplan der Nationalratsabgeordneten im Parlament durch Überprüfung des Hashwerts des PDFs des Sitzplans für einen bestimmten Zeitraum ([Link zum Source-Code](https://labs.onb.ac.at/gitlab/labs-team/webarchive-api/-/blob/sample9/master.ipynb))_x000D_
* Extraktion von Domainnamen aus allen archivierten Webseiten, die das Wort "Mozart" enthalten ([Link zum Source-Code](https://labs.onb.ac.at/gitlab/labs-team/webarchive-api/-/blob/master/sample5.ipynb))_x000D_
* Anzeige von Domainname mit den meisten Treffern nach Zeiträumen, begleitet von ihrer jeweiligen Anzahl, für eine spezifische Volltextsuche ([Link zum Source-Code](https://labs.onb.ac.at/gitlab/labs-team/webarchive-api/-/blob/master/sample6.ipynb))_x000D_
* Erstellung eines Screenshot eines Zeitschnittes einer bestimmten URL, sofern er freigegeben und vorgeneriert ist. Falls die URL nicht freigegeben ist, wird stattdessen ein Platzhalter in Form einer SVG-Grafik bereitgestellt, der durchaus Ähnlichkeit mit dem Screenshot der Webseite hat ([Link zum Source-Code](https://labs.onb.ac.at/gitlab/labs-team/webarchive-api/-/blob/master/sample7.ipynb))_x000D_
</t>
  </si>
  <si>
    <t>2024-06-11 06:14:52.092838</t>
  </si>
  <si>
    <t>["8a5d8ef3-9e77-4d43-8828-aa92436caac0", "d75798ec-b601-4961-9b06-1c24faaab294", "94f10c98-be6b-4e38-b841-f7615ab019be", "1f4219b8-591c-43c8-9f87-f1c26a836eff", "9df9bbdc-5ea8-4d5e-8fd9-b80a47f64630", "0f6870c8-d9a0-4dcf-9d67-4fb0d75f0e35", "4c99b422-66b8-41bd-9d82-6593694d2878"]</t>
  </si>
  <si>
    <t>24d2e0f6-b8fe-4622-99ef-266c499763a2</t>
  </si>
  <si>
    <t>hydro-aquatic-data-hub</t>
  </si>
  <si>
    <t>Hydro - Aquatic Data Hub</t>
  </si>
  <si>
    <t>Hydro - die App für aktuelle Wasserinformationen. Mit dieser innovativen App haben Sie alle wichtigen Daten zu Wasserständen, Wassertemperaturen, Niederschlägen und Grundwasserständen im österreichischen Bundesland Oberösterreich stets im Blick.</t>
  </si>
  <si>
    <t>2024-06-11 06:14:52.395628</t>
  </si>
  <si>
    <t>da464e01-7b63-4f70-a452-30c2473ab4fc</t>
  </si>
  <si>
    <t>ptv-pathfinder</t>
  </si>
  <si>
    <t>PTV-Pathfinder</t>
  </si>
  <si>
    <t>Die gratis Anwendung beinhaltet eine komplette Linien- und Stationsübersicht der öffentlichen Verkehrsmittel in Wien. Autobus, Straßenbahn, U-Bahn und Lokalbahn! Mit der integrierten Echtzeitabfrage erhält man immer die aktuellen Abfahrtszeiten direkt auf sein Handy. Zusätzlich zu den Echtzeitdaten, kann man mit Hilfe des Routenplaners, eine Station-zu-Station-Route berechnen und anzeigen lassen. Verkehrsinformationen der Wiener Linien, werden ebenfalls direkt in der Anwendung angezeigt. Mit nur wenigen Klicks gelangt man, zu seiner gewünschten Information._x000D_
_x000D_
PTV-Pathfinder gibt es als Windows Phone und Browser App, in den Sprachen Deutsch und Englisch.</t>
  </si>
  <si>
    <t>2024-06-11 06:14:27.637573</t>
  </si>
  <si>
    <t>bf985596-6a73-4196-b49e-10eb319c18c9</t>
  </si>
  <si>
    <t>tirolernapp-2</t>
  </si>
  <si>
    <t>TiroLernApp</t>
  </si>
  <si>
    <t>Beschreibung: Die TiroLernApp ist eine Web-Applikation, die auf das Fördern von geographischen Wissen und dem Kennenlernen des Landes Tirols abzielt. Das Spielprinzip ist folgendes: Auf dem Bildschirm des Nutzers erscheint eine Frage, wo sich ein gewisses Objekt (Gemeinde, See, Berg) des Landes Tirols befindet._x000D_
_x000D_
Für eine Gemeinde lautet eine solche Frage beispielweise: "Wo befindet sich Wattens?" bzw. für einen Berg: "Wo befindet sich der Berg Kreuzjoch?". Auf einer Karte mit Fokus auf Tirol werden anschließend drei mögliche Orte mittels Piktogrammen angezeigt, wobei ein solches für die richtige Lösung der Frage steht. Die Fragen werden zufällig aus dem Fragenkatalog gewählt und auf der Karte durch unterschiedliche Piktogramme visuell dargestellt. Solche Piktogramme symbolisieren Gemeinden, Berge oder Seen. Der Nutzer hat nun die Möglichkeit, eines der Piktogramme per Maus bzw. Touch-Event zu markieren, woraufhin er ein visuelles Feedback bzgl. richtiger oder falscher Antwort erhält. Anschließend erscheint eine weitere Frage._x000D_
_x000D_
Der Fragenkatalog besteht hierbei aus den Gemeinden von Tirol, welche aus dem Datensatz "Adressen Tirols" entnommen wurden. Die Datensätze für Berge und Seen Tirols wurden aus der Wikipedia entnommen und werden verwendet, um das Spiel abwechslungsreicher zu gestalten. Der Fragenkatalog umfasst derzeit 266 Fragen zu Gemeinden, 29 zu Berge und 15 zu Seen._x000D_
_x000D_
Die Anwendung enthält zwei Modi, die zu Beginn des Spiels wählbar sind. Im ersten Modus, "Spielmodus" genannt, besitzt der Spieler die Möglichkeit, Punkte zu sammeln und sich in einer Rangliste einzutragen. Hierbei kann der Nutzer Punkte für richtige Antworten sammeln und erhält pro Spiel fünf Versuche (Edelweiß). Bei falschen Antworten wird jeweils ein Versuch abgezogen. Nach dem Verbrauch aller fünf Versuche erscheint ein Dialog, in dem er seinen Nicknamen eintragen kann, welcher daraufhin samt erreichten Punkten in die Rangliste eingetragen wird. Die Rangliste kann jederzeit aufgerufen werden und kann als Motivation für weitere Spiele gesehen werden._x000D_
_x000D_
Der zweite Modus, "Infomodus" genannt, zielt auf das Kennenlernen von Gemeinden, Seen und Berge ab. In diesem Modus werden nach jeder Frage Infotexte oder Bilder zu den jeweiligen Objekten angezeigt; ein Punktesammeln oder Eintragen in die Rangliste ist nicht möglich. Die Infotexte zeigen dabei den ersten Paragraphen aus dem Wikipedia Artikel, unter welchem das gesuchte Objekt verlinkt ist. Die Infotexte bzw. Bilder werden hierbei programmatisch per JavaScript über die Wikipedia API bezogen.</t>
  </si>
  <si>
    <t>2024-06-11 06:14:27.327414</t>
  </si>
  <si>
    <t>055df4ba-6fa6-40f0-b681-49b26d9af313</t>
  </si>
  <si>
    <t>drupal-modul-open-data-vienna</t>
  </si>
  <si>
    <t>Drupal Modul - Open Data Vienna</t>
  </si>
  <si>
    <t>Dieses Projekt sieht sich als Demonstration für die Anwendung und Visualisierung von offenen Daten mit Hilfe des quelloffenen CMS Drupal._x000D_
_x000D_
Hierzu wurde ein Drupal Modul speziell für die offenen Daten der Stadt Wien publiziert, das Drupal Konfigurationen bereitstellt und die Visualisierung geobasierter Daten vereinfacht._x000D_
_x000D_
Ziel ist es, Benutzerinnen und Benutzern von Drupal möglichst einfachen Zugang zu offenen Daten der Stadt Wien zu verschaffen, sowie darzulegen, wie einfach die Einbindung solcher Daten möglich ist und so zu einer breiteren Nutzung des Angebots beizutragen._x000D_
_x000D_
Darüber hinaus werden die importierten Daten als Linked Open Data via SPARQL verfügbar gemacht und zum Teil auch in weiteren Datenformaten (JSON, XML, RDF) angeboten._x000D_
_x000D_
Für die Visualisierung und das Kartenmaterial wurden u.a. OpenStreetMap, Maps von Kartenwerkstatt.at und das Web Map Tile Service der Stadt Wien verwendet._x000D_
_x000D_
Das Projekt wurde im Rahmen des 2. Wiener CreateCamps von [drupal-austria.at](http://www.drupal-austria.at/) Mitgliedern initiiert._x000D_
### Links_x000D_
_x000D_
_x000D_
[Open Data Vienna Drupal module](https://www.drupal.org/project/odv)</t>
  </si>
  <si>
    <t>2024-06-11 06:14:39.958905</t>
  </si>
  <si>
    <t>["7c6e9dbf-487b-4146-a379-19e46642c392", "97ef14eb-f280-48a7-96c0-df03859b06c2", "523ba2e4-8c55-4dde-8acf-39e3621811b0", "2ed52078-7e55-40ea-8036-0d89118a06f4", "5d642d09-8e03-4200-a79b-2a397a6d5d51", "3e62e13e-3955-494a-91b3-f00ab9e84b48"]</t>
  </si>
  <si>
    <t>443ca540-5cb3-47f9-821f-6a7e25ae01af</t>
  </si>
  <si>
    <t>austro-control-spatial-data-infrastructure-sdi</t>
  </si>
  <si>
    <t>Austro Control – Spatial Data Infrastructure (SDI)</t>
  </si>
  <si>
    <t xml:space="preserve">Austro Control SDI provides spatial data by means of metadata for searching, maps for viewing and in some cases also downloads for external usage. Currently some selected aeronautical data as well as charts published in the AIP Austria are provided on a daily basis._x000D_
Data may be accessed via two different web based applications:_x000D_
* MapStore provides available charts and data as preconfigured layers and maps. The content can be switched on and off and various background layers (Basemap.at or Open Street Map) may be added. It’s also possible to request attribute data (e.g. airspace limits, frequencies, etc.) of the selected features. The Map Client is meant for easy display of charts and geographical information, where you can also add your own data via KML or GPX and add information via annotation functions._x000D_
* GeoNetwork provides INSPIRE compliant information (metadata) about charts and data available in the ACG SDI. It furthermore provides standardized interfaces (WMS or WFS) and download options (e.g. shapefile) for those who need to integrate data into external systems. Data may be filtered by a search function and visualised textually or via an integrated map viewer._x000D_
</t>
  </si>
  <si>
    <t>2024-06-11 06:14:41.185458</t>
  </si>
  <si>
    <t>1d6e8d13-4d34-4350-baf8-9102f080ff42</t>
  </si>
  <si>
    <t>smart-water-city</t>
  </si>
  <si>
    <t>Smart Water City</t>
  </si>
  <si>
    <t>The urban water infrastructure guarantees not only the continuous supply of fresh water to the entire population, but also the environmentally friendly discharge of waste water and the safe drainage of rainwater_x000D_
_x000D_
A modern concept for water infrastructure is moving away from traditional, centralised approaches (e.g. sewerage) towards decentralised, public solutions for treatment on site (e.g. Rain Gardens) and creates the possibility of multiple use and thus municipal added value._x000D_
_x000D_
In the vision of a "Smart Water City", a successful interaction with the urban population as well as the targeted integration of citizens is fundamental and possible for the first time through the transition to decentralised, public solutions in combination with the Internet of Things (IoT) concept.</t>
  </si>
  <si>
    <t>2024-06-11 06:14:41.283144</t>
  </si>
  <si>
    <t>52d00717-4d35-46ba-9f55-6d24c61bce3f</t>
  </si>
  <si>
    <t>oerag-immobiliensuche</t>
  </si>
  <si>
    <t>ÖRAG Immobiliensuche</t>
  </si>
  <si>
    <t>Die "ÖRAG Immobiliensuche" ist als App für Android und iOS seit letztem Jahr erfolgreich auf dem Markt._x000D_
_x000D_
In der neuen Release wurde die Darstellung von POIs integriert, d.h. ein Immobiliensuchender kann sich komfortabel über die Umgebung seiner (zukünftigen) Immobilie informieren._x000D_
_x000D_
Die verwendeten OGD-Daten umfassen: Öffentlicher Verkehr, Schulen, Kindergärten, Universitäten, Krankenhäuser, Parks, Märkte, Polizeistationen etc._x000D_
_x000D_
Die Daten werden in Kategorien zusammengefasst, um die Auswahl zu erleichtern.</t>
  </si>
  <si>
    <t>2024-06-11 06:14:42.397614</t>
  </si>
  <si>
    <t>["523ba2e4-8c55-4dde-8acf-39e3621811b0", "28a7419c-f432-4e1a-b0a6-aa9e71968a14", "87f121a7-eef0-4be9-9372-a5efe5b4d375", "5d642d09-8e03-4200-a79b-2a397a6d5d51", "aab0a0be-89e6-442e-8cf9-e762bd18f76b", "6f412521-2e9b-44b1-a3e4-8f1358caef63", "21fca925-12ac-4215-ba1a-a9c73cb3b082", "22add642-d849-48ff-9913-8c7ba2d99b46", "298e6b5a-21a8-4d56-9484-1bac58c94a26", "c1ba372b-dba2-4bce-b72e-b5c832eaaf44", "f4e80988-c139-4953-8176-b3d6d03f6449", "3e62e13e-3955-494a-91b3-f00ab9e84b48"]</t>
  </si>
  <si>
    <t>3191356b-d258-46b8-b12d-32e37dd77d96</t>
  </si>
  <si>
    <t>familiengesundheit-2</t>
  </si>
  <si>
    <t>Familiengesundheit</t>
  </si>
  <si>
    <t xml:space="preserve">Familiengesundheit unterstützt Eltern in der Planung und Aufrechterhaltung der Kinder- und Jugendgesundheit. Die kostenlose App und Webseite Familiengesundheit bieten jede Menge nützliche Funktionen für (werdende) Eltern._x000D_
_x000D_
Die wichtigsten Funktionen der Familiengesundheit:_x000D_
* Der Kalender erinnert an bevorstehende Untersuchungen und Impfungen laut Mutter-Kind-Pass und informiert regelmäßig mit interessanten Tipps zu unterschiedlichen Themen wie z.B. Gesundheit, Ernährung, Bewegung, Erziehung und Freizeit._x000D_
* Der Ratgeber beinhaltet Checklisten (u.a. Impfungen, Kinderkrankheiten) und Wissenswertes mit redaktionell aufbereiteten Artikeln aus den Bereichen Schwangerschaft, Frauengesundheit, Ernährung, Bewegung, Zahngesundheit usw._x000D_
* Im Tagebuch werden gemeinsame Erinnerungen aufgezeichnet und geteilt._x000D_
Eltern können hier das Heranwachsen ihres Kindes in Wort und Bild festhalten sowie an Familie und Freunde versenden oder ausdrucken._x000D_
* Die Suchfunktion "Finder" schließlich ermöglicht es, schnell und einfach die nächstgelegenen Ärzte, Selbsthilfegruppen, Freizeitangebote uvm. für Eltern und Kinder zu ermitteln._x000D_
</t>
  </si>
  <si>
    <t>2024-06-11 06:14:42.688599</t>
  </si>
  <si>
    <t>["aac2629e-495d-4468-9c8b-cd9649bd7b5d", "2adc5a86-faa3-4b63-acff-a66128b811b7", "96196887-5a20-4e93-a302-72f306f32c9d", "87f121a7-eef0-4be9-9372-a5efe5b4d375", "6f412521-2e9b-44b1-a3e4-8f1358caef63", "fc725989-5c3e-4bf4-89b1-68caeec4d858", "898afe8c-0297-45d6-b4b5-0cb9e632094b", "bd8b518b-d812-46f9-b367-4c1b660cfc99", "71084c02-973d-4544-b804-7ed82bd53027", "2ed52078-7e55-40ea-8036-0d89118a06f4", "716d89ce-b0da-4158-abb6-72f562206b37"]</t>
  </si>
  <si>
    <t>a711af5f-9b21-44f1-bfbc-5332358c49dd</t>
  </si>
  <si>
    <t>steine-der-erinnerung</t>
  </si>
  <si>
    <t>Steine der Erinnerung - Übersichtskarte und Datenbank</t>
  </si>
  <si>
    <t>Der Verein „Steine der Erinnerung“ hat es sich zum Ziel gesetzt, der jüdischen Opfer des Holocausts zu gedenken und die Erinnerung an das jüdische Leben und die jüdische Kultur in Wien vor der Machtergreifung durch die Nationalsozialisten wach zu halten. Dieses Gedenken wird durch das Setzen von „Steinen der Erinnerung“, im Gehsteig eingelassenen Messingplatten, verankert._x000D_
_x000D_
Der interaktive Stadtplan bietet einen Überblick über alle Gedenksteine des Vereins in Wien, sowie die Möglichkeit alle Daten der verewigten Menschen und Orte abzurufen und nach einzelnen Daten zu suchen.  Die eigene Umgebung kann erkundet werden und die Menschen, die einst hier lebten, rücken näher._x000D_
_x000D_
An vielen Adressen bietet der audiovisuelle Guide [dort.pw](http://dort.pw/) die Möglichkeit die individuellen Geschichten der Angehörigen und Initiator\_innen zu hören.</t>
  </si>
  <si>
    <t>2024-06-11 06:14:43.232165</t>
  </si>
  <si>
    <t>995427af-22e9-48fc-b71a-a9472630a31c</t>
  </si>
  <si>
    <t>csh-health-care-info-point</t>
  </si>
  <si>
    <t>CSH Health Care Info Point</t>
  </si>
  <si>
    <t>Der Health Care Info Point des Complexity Science Hub Vienna bietet einen Österreich-weiten Überblick über drei Datenkategorien: Corona Fallzahlen, Ärztedichte, Risikogruppen in der Bevölkerung._x000D_
_x000D_
Der Menüpunkt "Fallzahlen" bietet Informationen auf Bezirksebene zur Anzahl der Neuinfektionen (positiv Getestete), zur Corona Infektionswachstumsrate, und zur absoluten Zahl an positiv Getesteten._x000D_
_x000D_
Der Menüpunkt "Ärztedichte" zeigt die Verfügbarkeit von Ärzten aus 29 Fachbereichen auf Bezirksebene - absolut oder gemessen an der jeweiligen Bevölkerungsdichte._x000D_
_x000D_
Der Menüpunkt "Risikogruppen" gibt einen Überblick über die absolute und relative Anzahl an Personen pro Bezirk, die einem erhöhten Gesundheitsrisiko durch eine potentielle Corona Infektion ausgesetzt wären, z.B. Personen im hohen Alten oder Personen mit spezifischen Vorerkrankungen.</t>
  </si>
  <si>
    <t>2024-06-11 06:14:45.332983</t>
  </si>
  <si>
    <t>["4b71eb3d-7d55-4967-b80d-91a3f220b60c", "4bd85183-cba6-3079-881d-45981f1f9f78"]</t>
  </si>
  <si>
    <t>40f06d3e-a143-48f4-b386-a98891a0554a</t>
  </si>
  <si>
    <t>corona-aktuell-osttirol</t>
  </si>
  <si>
    <t>Corona aktuell Osttirol inkl. Grafiken, Ampel und Impfdashboard Österreich</t>
  </si>
  <si>
    <t>Das Dashboard zeigt die aktuellen Covid19-Fallzahlen für Osttirol (Bezirk Lienz), den Ampelstatus der Osttiroler Gemeinden, Fallzahlen und 7-Tages-Inzidenz grafisch, aktuelle Corona-Fallzahlen Österreichs mit Grafiken sowie das neue Impfdashboard inkl. Grafik der Durchimpfungsrate.</t>
  </si>
  <si>
    <t>2024-06-11 06:14:45.859226</t>
  </si>
  <si>
    <t>["52abfc2b-031c-4875-b838-653abbfccf4e", "734a5746-bbda-4fc0-8eb3-52c6325ceb88", "3765ed62-0f9d-49ad-83b0-1405ed833108", "2f6649b6-2b2d-49a9-ab31-6c7e43728001", "ef8e980b-9644-45d8-b0e9-c6aaf0eff0c0", "4b71eb3d-7d55-4967-b80d-91a3f220b60c"]</t>
  </si>
  <si>
    <t>6d11d490-fc43-4377-bbbe-37e670632801</t>
  </si>
  <si>
    <t>dashboard-zur-corona-schutzimpfung-des-bmsgpk</t>
  </si>
  <si>
    <t>Dashboard zur Corona-Schutzimpfung des BMSGPK</t>
  </si>
  <si>
    <t xml:space="preserve">Das Dashboard zeigt eine Österreichkarte zur Corona-Schutzimpfung inkl. der Anzahl der geimpften Personen pro 100 Einwohnerinnen und Einwohner und die absolute Zahl der gelieferten und geimpften Dosen pro Bundesland._x000D_
_x000D_
_x000D_
Bitte beachten Sie, dass das Dashboard laufend weiterentwickelt wird - neue Datensätze werden ebenfalls auf data.gv.at veröffentlicht, eine Liste aller Änderungen finden Sie [hier](https://info.gesundheitsministerium.gv.at/opendata.html)._x000D_
_x000D_
</t>
  </si>
  <si>
    <t>2024-06-11 06:14:45.927851</t>
  </si>
  <si>
    <t>8b933cd6-3590-4709-a8db-35a29c0774ab</t>
  </si>
  <si>
    <t>open-pins-vienna</t>
  </si>
  <si>
    <t>Open Pins Vienna</t>
  </si>
  <si>
    <t>Die App Open Pins Vienna bietet die Standortinformationen aus dem Open Data Katalog der Stadt Wien für die Nutzung am iPhone. Abhängig vom Standort der Benutzerin bzw. des Benutzers werden die Standorte wahlweise in einer Karten- oder Listendarstellung angezeigt. In einer Detailansicht werden verfügbare Informationen wie Öffnungszeiten oder Kontaktmöglichkeiten eingeblendet. Die App bietet die Möglichkeit, Standortinformationen über Facebook, Twitter oder E-Mail mit anderen Personen zu teilen._x000D_
### Verfügbarkeit_x000D_
_x000D_
_x000D_
Die App ist für iPhone, iPad und iPod touch verfügbar. Erfordert iOs 4.0 oder neuer.</t>
  </si>
  <si>
    <t>2024-06-11 06:14:46.428503</t>
  </si>
  <si>
    <t>["146384fc-3f64-4482-a78a-2f082411a27d", "c6fc4688-1aca-4363-bd1a-8d14ea08d2f8", "aab0a0be-89e6-442e-8cf9-e762bd18f76b", "21fca925-12ac-4215-ba1a-a9c73cb3b082", "298e6b5a-21a8-4d56-9484-1bac58c94a26", "e7065317-1d57-434a-8428-efa263ecc526", "716d89ce-b0da-4158-abb6-72f562206b37", "3e62e13e-3955-494a-91b3-f00ab9e84b48", "2ed52078-7e55-40ea-8036-0d89118a06f4", "bd8b518b-d812-46f9-b367-4c1b660cfc99", "ff1480b5-61f2-4008-aada-387c2c490549", "71084c02-973d-4544-b804-7ed82bd53027", "c7e84d16-449e-4154-a1bd-603b4fae329e", "898afe8c-0297-45d6-b4b5-0cb9e632094b", "c1ba372b-dba2-4bce-b72e-b5c832eaaf44", "d2c6f6f5-2236-4217-8361-3297b6369979", "54fc7750-8540-4c22-8d46-9a6a2641c41a", "5d642d09-8e03-4200-a79b-2a397a6d5d51", "87f121a7-eef0-4be9-9372-a5efe5b4d375", "7035def0-a9df-430a-99ee-6e13de12676c", "8d482810-26da-4bbc-8599-6b1fd1ab8743", "d9321ccf-d303-4cfb-a24b-32aba49cef81", "97ef14eb-f280-48a7-96c0-df03859b06c2", "96196887-5a20-4e93-a302-72f306f32c9d", "523ba2e4-8c55-4dde-8acf-39e3621811b0", "7fcf7f09-12d7-4b06-a183-93c51f940670", "6f412521-2e9b-44b1-a3e4-8f1358caef63", "455cf48c-cdee-4721-a0ed-cd38af7aff0f", "de64ade8-5025-40f9-a2e0-15b72797e6a7", "826d798e-01d1-48d3-973c-e0e466a63ca8", "a42cbe4f-89f0-42ae-a34d-f2e5db6aa1d2", "2adc5a86-faa3-4b63-acff-a66128b811b7", "7c6e9dbf-487b-4146-a379-19e46642c392", "fc725989-5c3e-4bf4-89b1-68caeec4d858", "038920bb-8c40-4a30-8d0c-0a29bcd64751", "8e420764-a913-4eae-8514-9be858fdb9b3", "28a7419c-f432-4e1a-b0a6-aa9e71968a14", "72fbf32e-c8c3-4914-92a1-66dc2439a114", "84f9e5e8-4baa-42a4-a491-fb92d0258f49", "f4e80988-c139-4953-8176-b3d6d03f6449", "f0335765-1ab0-4e94-ab38-f404de4c3b4d"]</t>
  </si>
  <si>
    <t>08da3f3b-9cb5-4993-a265-43e486ec8583</t>
  </si>
  <si>
    <t>flano</t>
  </si>
  <si>
    <t>Flano</t>
  </si>
  <si>
    <t>Flano ermöglicht es dir, Kunstwerke im öffentlichen Raum zu entdecken, dich über diese zu informieren und sie mit deinen Freund\*innen zu teilen. Ob Denkmal, abstraktes Kunstobjekt, Jahrhunderte alte Statue oder Street Art, mit Flano kannst du mehr darüber erfahren._x000D_
* Entdecke Kunstwerke in deiner Nähe_x000D_
* Erfahre mehr über Werke, die dich interessieren_x000D_
* Teile deine Lieblingswerke mit deinen Freund\*innen_x000D_
* Speichere deine Lieblingswerke und finde sie später wieder_x000D_
* Lass dich auf von Kenner\*innen kuratierten Touren durch die Stadt führen_x000D_
_x000D_
_x000D_
Flano kann ohne Anmeldung genutzt werden und nutzer\*innenbezogene Daten werden weder gespeichert, noch an Dritte weitergegeben. Um dir Kunstwerke in deiner Nähe zu zeigen, benötigt Flano deinen Standort, dieser wird nicht gespeichert. Du kannst Flano aber auch ohne Zugriff auf deinen Standort nutzen._x000D_
_x000D_
Deine gelikten und gespeicherten Werke werden nur lokal auf deinem Gerät gespeichert.</t>
  </si>
  <si>
    <t>2024-06-11 06:14:47.377079</t>
  </si>
  <si>
    <t>f65bb18c-ceeb-44aa-ab78-0efd7ee58303</t>
  </si>
  <si>
    <t>bluehendes-oesterreich</t>
  </si>
  <si>
    <t>Blühendes Österreich</t>
  </si>
  <si>
    <t>Blühendes Österreich - REWE International gemeinnützige Privatstiftung setzt sich für eine gesunde Umwelt und ökologisch nachhaltige Landwirtschaft ein. Deshalb fördert Blühendes Österreich Bäuerinnen und Bauern, Naturschutzorganisationen, Gemeinden und andere Initiativen, die durch eine verantwortungsvolle Landwirtschaft und wertvolle Umweltprojekte unsere Lebensräume, Tiere und Pflanzen schützen._x000D_
_x000D_
Die Website [bluehendesoesterreich.at](https://www.bluehendesoesterreich.at) ist die stärkste digitale Plattform für Naturtourismus und Naturcontent. Im Naturerlebnis-Portal bündelt Blühendes Österreich mehr als 90 Organisationen mit tausenden Naturveranstaltungen pro Jahr._x000D_
_x000D_
Die Anwendung ermöglicht den User:innen im Naturerlebnisportal und in den einzelnen Veranstaltungen über die Karte zu suchen und sich den genauen Ort bzw. weitere Veranstaltungen anzeigen zu lassen. Angeführt werden auch freie Unterkünfte von "Urlaub am Bauernhof", die in der Umgebung der jeweiligen Veranstaltung zur Verfügung stehen.</t>
  </si>
  <si>
    <t>2024-06-11 06:14:50.203696</t>
  </si>
  <si>
    <t>db555b35-5dd2-4b34-8d7a-908afb93dfad</t>
  </si>
  <si>
    <t>standortkompass-at-die-webplattform-fuer-betriebsansiedlungen-in-noe</t>
  </si>
  <si>
    <t>standortkompass.at - die Webplattform für Betriebsansiedlungen in NÖ</t>
  </si>
  <si>
    <t xml:space="preserve">Die Webplattform wurde erstellt um Investoren und Unternehmer mittels einer kartographisch hinterlegten Immobiliendatenbank bei der Standortsuche zur Gründung bzw. zum Ausbau ihres Unternehmens zu unterstützen. Es wird Unternehmern bei allen Fragen rund um Ansiedlungs- und Erweiterungsprojekte bzw. Förderungen eine Serviceadresse geboten._x000D_
In der Standortsuche wird mittels, Textsuche, Filtermöglichkeiten und einem korrespondierenden Kartenmodul die Suche nach Gewerbeobjekten bzw. neuen Firmenstandorten so intuitiv und einfach wie möglich angeboten._x000D_
Mit diesem innovativen Servicetool ist die ecoplus Vorreiter unter den Wirtschaftsagenturen Österreichs und kann Betrieben als auch Anbietern von Immobilien wertvolle Zeit sparen. </t>
  </si>
  <si>
    <t>2024-06-11 06:14:50.54058</t>
  </si>
  <si>
    <t>6faf9b88-9ce8-4cff-975b-ec3160773921</t>
  </si>
  <si>
    <t>toilet-map-vienna-augmented-reality-app</t>
  </si>
  <si>
    <t>Toilet Map Vienna - Augmented Reality App</t>
  </si>
  <si>
    <t>Die „Toilet Map Vienna“ übernimmt die Geokoordinaten des Datensatzes "[Öffentliche WC-Anlagen - Standorte](http://www.data.gv.at/sucheDetail/?id=d9f5e582-3773-4f0b-8403-5d34718f6cf7)" und seit v2.0 die Standorte der Hundekotsackerlspender und stellt diese in einem Augmented-Reality Browser (Layar beziehungsweise Wikitude) dar._x000D_
Unter „Augmented Reality“ (erweiterte Realität) versteht man die computergestützte Erweiterung der Realitätswahrnehmung. So können etwa Zusatzinformationen oder virtuelle Objekte eingeblendet werden, die zusätzliche Informationen zur sichtbaren Realität liefern._x000D_
_x000D_
Über ein Smartphone können so abhängig vom aktuellen Standort die nächstgelegenen WC's angezeigt werden. Die Standorte können auch nach Kategorien gefiltert werden, zum Beispiel nur WC's mit Behindertenkabine._x000D_
### Verfügbarkeit_x000D_
_x000D_
_x000D_
Die Augmented-Reality Apps Layar und Wikitude stehen zur Verfügung für:_x000D_
* iPhone_x000D_
	+ Layar: ab 3GS_x000D_
* Android-Smartphones_x000D_
* Symbian-Smartphones (Nokia)_x000D_
* neuere Blackberry-Modelle_x000D_
_x000D_
_x000D_
Update: die "Toiliet Map" ist für Wikitude nicht mehr verfügbar, da das hierfür notwendige Webservice eingestellt wurde.</t>
  </si>
  <si>
    <t>2024-06-11 06:14:50.766187</t>
  </si>
  <si>
    <t>["146384fc-3f64-4482-a78a-2f082411a27d", "98908792-f315-4834-9b5e-20fed66cbe5a"]</t>
  </si>
  <si>
    <t>5090db44-e1c4-49b8-9805-29828b821239</t>
  </si>
  <si>
    <t>haus-und-hof-hausgeschichte-digital</t>
  </si>
  <si>
    <t>Haus und Hof - Hausgeschichte Digital</t>
  </si>
  <si>
    <t>Wo lebten meine Vorfahren? Mit der richtigen Verortung und Hinweisen auf weiterführende Quellen zur Hausgeschichte in Niederösterreich._x000D_
_x000D_
Haus und Hof ist eine Datensammlung mit wertvollen Informationen und Verweisen zu jedem erfassten Haus. Einerseits können alle gesammelten Daten durchsucht werden. Andererseits bieten georeferenzierte Daten zu Hausnamen und Hausbesitzern die Möglichkeit zur direkten Verortung. Eine Hilfestellung für Ahnenforscher und ein guter Ausgangspunkt für die Erforschung der Hausgeschichte.</t>
  </si>
  <si>
    <t>2024-06-11 06:14:51.259311</t>
  </si>
  <si>
    <t>f741adce-a789-4e7e-93a8-f80bd3ffe2bf</t>
  </si>
  <si>
    <t>historischer-moorkataster-1911-story-map</t>
  </si>
  <si>
    <t>Historischer Moorkataster 1911 - Story map</t>
  </si>
  <si>
    <t>Abgrenzung von Hoch- und Niedermooren im wiederentdeckten historischen Moorkataster aus 1911 verglichen mit dem Moorschutzkatalog von 1992._x000D_
_x000D_
Quelle:_x000D_
Moorkataster 1911 (Karten der 3. Landesaufnahme im Maßstab 1:75.000 mit eingezeichneten Moorflächen) aus Publikationen (1) „ Nachweis der Moore in Niederösterreich, Oberösterreich, Steiermark, Kärnten, Krain, Tirol und Mähren. Im Auftrage des k.k. Ackerbauministeriums hrsg. von der k.k. landwirtschaftl.-chem. Versuchsstation in Wien. Verlag: Frick, Kapitel-Autoren: Wilk, Zailer, Rieder“ (2) Moore Salzburgs, 1912, Schreiber und (3) Moore Vorarlbergs, 1910, Schreiber. Digitalisiert und georeferenziert durch Umweltbundesamt nach Archivbeständen des Bundesamt für Wasserwirtschaft Moorschutzkatalog 1992: (Steiner et al. 1992), Hrsg.: Bundesministerium für Gesundheit und Umweltschutz, Credits: Gert Michael STEINER unter Mitarbeit von P. Englmaier, M. Fink, F, Grünweis, I. Höfner I. Korner, A. Ströhle und W. Wolf (im Auftrag des Bundesministeriums für Gesundheit und Umweltschutz), Wien, 1992</t>
  </si>
  <si>
    <t>2024-06-11 06:14:51.715462</t>
  </si>
  <si>
    <t>["ea26a2de-5d6b-4a2d-ba1f-4956f0ff8a40"]</t>
  </si>
  <si>
    <t>2b7363be-d8ec-4cd8-a969-de84ea16ee5d</t>
  </si>
  <si>
    <t>intime-linz</t>
  </si>
  <si>
    <t>InTime Linz</t>
  </si>
  <si>
    <t xml:space="preserve">Update 2024: die Anwendung ist leider nicht mehr verfügbar, nachfolgender Eintrag wird aus Archivzwecken erhalten und zu archive.org verlinkt._x000D_
_x000D_
Wann kommt meine Bahn? Muss ich mich beeilen oder habe ich noch Zeit? Noch ein Achtel, oder fährt der letzte Bus schon? 'InTime Linz' ist die App, die genau diese oder ähnliche Fragen beantwortet._x000D_
_x000D_
'InTime Linz' zeigt die Abfahrtszeiten von Verkehrsmitteln der LINZ AG LINIEN im Linzer Stadtgebiet an. Und das alles besonders einfach und schnell: 'InTime Linz' starten und schon werden die Abfahrtszeiten an den favorisierten Stationen angezeigt._x000D_
_x000D_
Mit dieser App halten Sie eine mobile Anzeigetafel in den Händen, mit der Sie jederzeit und schnell die Abfahrtszeiten an den von Ihnen favorisierten Stationen angezeigt bekommen._x000D_
_x000D_
Weitere Informationen:_x000D_
* Alle Informationen werden von der Stadt Linz zur Verfügung gestellt: "Datenquelle: CC-BY-3.0: Stadt Linz - data.linz.gv.at"_x000D_
* Obwohl ‘InTime Linz' Echtzeitdaten anzeigt, dienen sie doch nur zur Information._x000D_
* Wir können keine Garantie übernehmen, dass die angezeigten Information auch tatsächlich der Wahrheit entsprechen._x000D_
* Zur Benutzung der App wird eine Internetverbindung benötigt._x000D_
</t>
  </si>
  <si>
    <t>48910881-1251-4f69-aa65-7d6acadfd2e1</t>
  </si>
  <si>
    <t>vienna-location-service</t>
  </si>
  <si>
    <t>Vienna Location Service</t>
  </si>
  <si>
    <t xml:space="preserve">Die ideale App um das nächste WC, Trinbrunnen, Fahrradabstellplatz, etc. zu finden. Die App für Wiener, die mit ihrem BlackBerry Gebrauch von den öffentlich zugänglichen Daten ihrer Stadt machen wollen._x000D_
_x000D_
Am PlayBook:_x000D_
_x000D_
Du bist in Wien und weißt nicht, was du in den nächsten Tagen tun sollst? Mit dieser App kannst du den Wiener Open Data Katalog nach einer Vielzahl von Events durchsuchen, egal ob aus dem Bereich Musik, Sport, Kulur oder anderem._x000D_
_x000D_
Features:_x000D_
* Auswahl der Eventkategorie_x000D_
* Filtern nach Bezirken_x000D_
* Zeithorizont der Suche wählbar_x000D_
* Stichwortsuche_x000D_
* „Bridge“-Feature, mit dessen Hilfe man Telefonnummern an die "Vienna Location Service" App schicken kann (Installation auf beiden Geräten vorausgesetzt)_x000D_
</t>
  </si>
  <si>
    <t>2024-06-11 06:14:52.460815</t>
  </si>
  <si>
    <t>2024-04-04 16:12:08.760999</t>
  </si>
  <si>
    <t>["fc725989-5c3e-4bf4-89b1-68caeec4d858", "7c6e9dbf-487b-4146-a379-19e46642c392", "826d798e-01d1-48d3-973c-e0e466a63ca8", "455cf48c-cdee-4721-a0ed-cd38af7aff0f", "97ef14eb-f280-48a7-96c0-df03859b06c2", "523ba2e4-8c55-4dde-8acf-39e3621811b0", "4315e096-f51e-4b56-8235-57be9789a62c", "47c7ffa9-65ba-41d1-9461-4e5458afd62e", "54fc7750-8540-4c22-8d46-9a6a2641c41a", "8d482810-26da-4bbc-8599-6b1fd1ab8743", "c7e84d16-449e-4154-a1bd-603b4fae329e", "146384fc-3f64-4482-a78a-2f082411a27d", "298e6b5a-21a8-4d56-9484-1bac58c94a26", "d9321ccf-d303-4cfb-a24b-32aba49cef81", "6f412521-2e9b-44b1-a3e4-8f1358caef63", "2ed52078-7e55-40ea-8036-0d89118a06f4", "5d642d09-8e03-4200-a79b-2a397a6d5d51", "2adc5a86-faa3-4b63-acff-a66128b811b7", "87f121a7-eef0-4be9-9372-a5efe5b4d375", "898afe8c-0297-45d6-b4b5-0cb9e632094b", "de64ade8-5025-40f9-a2e0-15b72797e6a7", "716d89ce-b0da-4158-abb6-72f562206b37", "3e62e13e-3955-494a-91b3-f00ab9e84b48", "c1ba372b-dba2-4bce-b72e-b5c832eaaf44"]</t>
  </si>
  <si>
    <t>ae8cf9cd-84be-425a-9715-c0f2de16f2bc</t>
  </si>
  <si>
    <t>h2k-das-kaerntner-wasser-app</t>
  </si>
  <si>
    <t>H2K – Das Kärntner Wasser-App</t>
  </si>
  <si>
    <t xml:space="preserve">Du wohnst in Kärnten oder machst Urlaub in diesem Bundesland? Du möchtest Informationen über die dortigen Seen oder zu Niederschlagswerten, um deinen Badetag / -urlaub optimal planen zu können?_x000D_
_x000D_
Dann ist dieses App genau das, was du suchst._x000D_
_x000D_
 _x000D_
_x000D_
Sämtliche Informationen werden bei jedem Start des Apps automatisch aktualisiert, damit du immer auf dem neuesten Stand bist. Diese Daten werden vom Land Kärnten bereitgestellt._x000D_
_x000D_
 _x000D_
_x000D_
H2K – Das Kärntner Wasser-App hat bei der OpenDataChallenge 2015, einem Wettbewerb des Landes Kärnten, um mit Hilfe von Open Government Data innovative und kreative Applikationen und Konzepte zu schaffen, teilgenommen. Eine Fachjury hat das App in der Kategorie “Web-Anwendungen und mobile Applikationen (Apps)” mit dem ersten Platz ausgezeichnet._x000D_
_x000D_
 _x000D_
_x000D_
FUNKTIONEN_x000D_
_x000D_
 _x000D_
* Karten- und Listenansicht mit den Messwerten der Messstationen_x000D_
* Clustering (Zusammenfassen) der Messstationen in der Kartenansicht, um die Übersichtlichkeit zu verbessern_x000D_
* Auswahlmöglichkeit zwischen den iOS-Standardkarten, der OpenStreetMap und der OpenTopoMap_x000D_
* Filtern (Ein- und Ausblenden) der Messstationen_x000D_
* Anzeige von Detailinformationen, wie dem Wasserstand und Wassertemperatur des Sees, aber auch von Niederschlagsmengen und Lufttemperaturen_x000D_
* Anzeige von “historischen Daten” (maximal die letzten sechs Monate) in Form von Diagrammen_x000D_
* Teilen der Messwerte per Email, SMS und Twitter_x000D_
* Umfassende Möglichkeiten zur Benachrichtigung. Lass dich benachrichtigen, wenn beispielsweise ein See eine bestimmte Wassertemperatur, oder die Niederschlagsmenge einen beliebigen Wert über- oder unterschritten hat_x000D_
* Lass dir eine Route berechnen_x000D_
* Volltextsuche im Filtermenü, Kartenansicht und Listenansicht_x000D_
</t>
  </si>
  <si>
    <t>2024-06-11 06:14:27.289116</t>
  </si>
  <si>
    <t>fb7b90f7-6908-48f3-aec2-e6fa430e28a5</t>
  </si>
  <si>
    <t>zone-graz</t>
  </si>
  <si>
    <t>Zone Graz</t>
  </si>
  <si>
    <t>Graz bietet viele Parkmöglichkeiten mit unterschiedlichsten Bedingungen. Schnell verliert man den Überblick und parkt nur wenige hundert Meter von einer günstigeren Variante. _x000D_
Mit ZoneGraz können Sie dieses Szenario in Zukunft verhindern!_x000D_
Die Funktionen im Überlick: _x000D_
\* Behalten sie alle Parkmöglichkeiten im Auge, setzen Sie einen Marker dort hin, wo Sie Ihr Auto parken wollen und navigieren Sie zu ihm. _x000D_
\* Haben Sie geparkt, können Sie den Parkplatz mit Ihren Freunden teilen und sich umgehend treffen. _x000D_
\* ZoneGraz zeigt Informationen zur maximalen Parkdauer, Parktarifen, Dauer der Gebührenpflicht und mehr! _x000D_
\* Auch Parkgaragen und Park'n'Rides werden angezeigt. _x000D_
\* Blenden Sie den Verkehr ein um den schnellsten Weg zu finden! _x000D_
\* Perfekt auf die diversen persönlichen Bedürfnisse einstellbar. Zum Beispiel dank der optional zum zoomen verwendbaren Lautstärke-Tasten und ausschaltbarem Pinch-To-Zoom für einhändige Bedienung ptimierbar. _x000D_
_x000D_
 _x000D_
_x000D_
 </t>
  </si>
  <si>
    <t>2024-06-11 06:14:27.572535</t>
  </si>
  <si>
    <t>["92183c55-442b-405d-9046-d19b07ffc83a", "74358c31-1607-41ff-bf02-a4b171e3a40d"]</t>
  </si>
  <si>
    <t>7fe41d3c-1154-490e-b878-2d41df39b9bf</t>
  </si>
  <si>
    <t>digital-salzburg</t>
  </si>
  <si>
    <t>Digital Salzburg</t>
  </si>
  <si>
    <t>Die Digital Salzburg App ist eine Anwendung, mit der sich mit Koordinaten versehene Datenpakete der Stadt und des Landes Salzburg anzeigen lassen. Es gibt 4 verschiedene Möglichkeiten Informationen der Datenpunkte, die sich in den Datenpaketen befinden, anzuzeigen:_x000D_
* GPS_x000D_
* NFC_x000D_
* QR-Code_x000D_
* Über die Google Karte_x000D_
_x000D_
_x000D_
GPS: Wenn sich im, in den Einstellungen festgelegten Radius, ein Datenpunkt befindet und Sie Ihr Android-Gerät in Richtung des Datenpunktes ausrichten, so werden Ihnen die Informationen zu diesem Datenpunkt angezeigt._x000D_
_x000D_
NFC: Wenn Sie Ihr Android-Gerät an ein NFC-Tag halten, so erkennt die Digital Salzburg App dies und zeigt Ihnen die Information zu diesem Datenpunkt an._x000D_
_x000D_
QR-Code: Wenn Sie einen QR-Code, welcher ein unterstütztes Format beinhaltet, mit dem eingebauten QR-Code-Scanner scannen, werden Ihnen die auf dem QR-Code befindlichen Daten angezeigt._x000D_
_x000D_
Über die Google-Karte: Wenn Sie eine Datenpunktmarkierung auswählen, erscheint ein Fenster mit dem Namen. Wollen Sie mehr Informationen über diesen Datenpunkt, so drücken Sie einmal auf dieses Fenster. Nun werden Ihnen die Informationen zu diesem Datenpunkt angezeigt._x000D_
_x000D_
Die Digital Salzburg App kann mit oder ohne Datenbrille verwendet werden. Standardmäßig ist die Verwendung der Datenbrille in der App jedoch deaktiviert.</t>
  </si>
  <si>
    <t>2024-06-11 06:14:28.724476</t>
  </si>
  <si>
    <t>["a5841caf-afe2-4f98-bb68-bd4899e8c9cb", "9087fe9a-1dd4-49a1-98b4-8a8c659eb64f", "4b901b6b-f131-49f7-ba8b-2e3b7bfd4ea6", "a01bd054-65f7-4433-b852-6c8f926a4da0", "cfb7d12a-0942-468a-9fdd-0399029e196f", "3aa31f0e-b807-45fe-88ab-209e006f1c78", "a2aacf9c-c06b-49ac-b196-0eb22fbc6e84"]</t>
  </si>
  <si>
    <t>953f9204-2f44-4094-904c-58911b25bd8d</t>
  </si>
  <si>
    <t>lereto-legal-research-tool</t>
  </si>
  <si>
    <t>LeReTo | Legal Research Tool</t>
  </si>
  <si>
    <t>LeReTo durchsucht Urteile, Schriftsätze, Gutachten oder Memos - nahezu jedes File mit juristischen Texten - auf darin zitierte Quellen und fragt diese vollautomatisch im RIS ab. Man spart bis zu 90% der Recherche-Arbeitszeit ein!_x000D_
_x000D_
Das Onlinetool LeReTo erledigt für Sie die Quellenrecherche und RIS-Abfrage in allen juristischen PDFs vollautomatisch - einzigartig in Österreich! Sie ziehen das zu analysierende File per Drag &amp; Drop ins Tool und können binnen Sekunden den Text im Viewer samt Auto-Vorschau auf alle RIS-Quellen (Rechtssätze, Judikate und Gesetze) lesen. Zum Schluss können Sie sich Ihr Memo mit allen RIS-Quellen downloaden oder an Ihre E-Mail-Adresse senden lassen._x000D_
_x000D_
LeReTo macht den Alltag von RechtsanwältInnen, RichterInnen und JuristInnen einfacher und erledigt lästige - aber notwendige - Arbeit in einem Zehntel der Zeit! Durch das Einsparungspotential von bis zu 200 Arbeitsstunden pro Jahr werden Ressourcen für die eigentliche Kernarbeit frei oder man erfreut sich an einem früheren Feierabend!_x000D_
_x000D_
LeReTo ist erst seit April 2016 am Markt, wurde bereits beim Constantinus Award 2016 mit dem 2. Platz prämiert!</t>
  </si>
  <si>
    <t>2024-06-11 06:14:29.136548</t>
  </si>
  <si>
    <t>6f422a00-9e0e-413e-ada3-df9b6d313f0b</t>
  </si>
  <si>
    <t>daham-in-wien-interaktiver-atlas-von-wien</t>
  </si>
  <si>
    <t>Daham in Wien, interaktiver Atlas von Wien</t>
  </si>
  <si>
    <t>Wie und wo wollen wir wohnen in Wien?_x000D_
_x000D_
Diese Frage stellen sich viele, sei es sie sind zugezogen aus fernen Erdteilen(=Bundesländer!), die Familie natürliches Wachstum erfährt oder man hat die Hoffnung auf den Lottogewinn noch nicht begraben und sucht schon jetzt die Gegend für eine standesgemäße Bleibe._x000D_
_x000D_
Spinning Circle, ein Fahrradbotendienst in Wien, versucht mit einer Vielzahl von interaktiven Karten zu Wohnungen, Wohnsituation, Gebäuden, Gemeindebauten, Fahrradverkehr aber auch Autos eine Antwort zu geben. Diese Karten basieren auf dem Open Data-Angebot der Stadt Wien._x000D_
_x000D_
Wussten Sie,_x000D_
* dass es im 1. Bezirk (3 km² Fläche, 16.131 Einwohner) mehr Wohnungen mit 150 qm und mehr Nutzfläche gibt, als in den Bezirken 11, 10, 12 und 15 (insgesamt 67,09 km² Fläche, 445.555 Einwohner) zusammen?_x000D_
* dass im Zeitraum von 2002 bis 2011 die meisten Gebäude im "Krisenjahr" 2008 fertiggestellt wurden?_x000D_
* dass die Anzahl der Autos pro 1000 Einwohner geringer wird, aber nur bei schwach motorisierten Autos? Bei stark motorisierten Autos ist eine Steigerung zu verzeichnen._x000D_
_x000D_
_x000D_
Natürlich können wir, als Fahrradbotendienst, keine Wohnung vermitteln, aber Sie können mit dem Wissen aus den Karten Ihren Suchraster verfeinern._x000D_
_x000D_
Bitte die linken Pfeil-Buttons benützen um die Karte zu bewegen. Unter Überblick sind die ganzen Daten zusammengefasst, einfach das Interessensgebiet auswählen. Details enthält alle Karten nach Bezirk bzw. Zählbezirk, Sie können die Karten mit Klicken anzeigen und mit zweiten Klick wieder entfernen. Eigene Karten erstellen erlaubt aus dem ganzen Datenbestand die für Sie interessanten Daten auswählen, diese können Sie auch pro 1000 Einwohner gewichten._x000D_
_x000D_
Spinning Circle steht als Fahrradbotendienst für eine schnelle und zuverlässige Zustellung, diese Prinzipien der Schnelligkeit und Zuverlässigkeit haben wir mit diesen Karten bei der Informationsdarstellung ebenfalls umgesetzt. Wir haben nur die Liebe, mit der die Stadt Wien ihre Geodaten pflegt, und die Großzügigkeit, mit der die Stadt diese Daten als Open Data freigibt, erwidert.</t>
  </si>
  <si>
    <t>2024-06-11 06:14:29.463669</t>
  </si>
  <si>
    <t>["09e70f89-cadf-4a3b-a29a-2b3f3c6cbd71", "28185052-3df4-46ae-8c97-8b47221c6487", "827fb7fd-09ac-4c5f-a241-4cc35cc09366", "2e9f926c-f688-4889-856d-5e6935440c28", "3828fd26-5284-444b-ba25-a68a84e91bdf", "a9c194f6-5df5-4f7d-9e43-b0dcf62ac8e1", "2ee6b8bf-6292-413c-bb8b-bd22dbb2ad4b", "e4079286-310c-435a-af2d-64604ba9ade5", "091a085f-2652-429f-8dde-c69199440ddf", "cede9004-ba9f-4a4f-8bed-773927c17f48", "4111e2d8-1729-4953-899a-c55bc382857e", "c223b93a-2634-4f06-ac73-8709b9e16888"]</t>
  </si>
  <si>
    <t>ce8fd77e-b6bf-472d-96d6-dd01b69a043b</t>
  </si>
  <si>
    <t>raspberry-pi-real-time-public-transport-departure-monitor</t>
  </si>
  <si>
    <t>Raspberry Pi Real-Time Public Transport Departure Monitor</t>
  </si>
  <si>
    <t>Shows a real-time departure countdown for the Vienna public transport network (Wiener Linien)._x000D_
_x000D_
Minimize the waiting time at bus / tram / subway stops by knowing when to leave your apartment and getting there just in time! The little app runs on the Raspberry Pi and uses the real-time departure service of the Vienna public transport network (Wiener Linien) to show the countdown to the next departures for two different lines at your closest station._x000D_
_x000D_
Features:_x000D_
_x000D_
- Shows the next two departures for two different public transport stops / lines_x000D_
_x000D_
- Refreshes countdown every 20 seconds_x000D_
_x000D_
- Auto-starts when booting your Raspberry Pi_x000D_
_x000D_
- Configurable through command line parameters_x000D_
_x000D_
- Shows live data in green, errors in red_x000D_
_x000D_
Uses open data from the City of Vienna. Code is based on WL-Monitor-Pi from Matthias Bendel / mabe-at and released under the same MIT license - thanks for creating the original project and inspiring this adaption!</t>
  </si>
  <si>
    <t>2024-06-11 06:14:29.862794</t>
  </si>
  <si>
    <t>6b28419c-7348-4697-9118-29e88c15add8</t>
  </si>
  <si>
    <t>wien-linien-info</t>
  </si>
  <si>
    <t>wien.linien.info</t>
  </si>
  <si>
    <t>Auf der Internetseite „[linien.info](http://wien.linien.info)“ werden Liniennetze des Nahverkehrs zur interaktiven Nutzung angeboten. So auch die aktuelle Karte des U-Bahn-, Straßenbahn- und Bus-Verkehrs der Wiener Linien. Auf dieser Internetseite können in der Nähe liegende oder beliebige andere Stationen gefunden und die dort verkehrenden Linien sowie die von dort erreichbaren Ziele ermittelt werden. Es ist möglich, sich den Verlauf einzelner oder mehrerer Linien vor dem Hintergrund des Gesamtnetzes anzusehen. Die Anzeige aktueller Abfahrtstafeln aus „linien.info“ heraus befindet sich für die Stationen der Wiener Linien noch in Vorbereitung._x000D_
_x000D_
Die Seite „linien.info“ beruht auf GTFS-Daten und dem Zugriff auf Fahrplan-APIs, die von Nahverkehrsunternehmen für die freie Nutzung zur Verfügung gestellt wurden. Neben Wien gehören hierzu bereits einige Verkehrsverbünde Deutschlands, die Schweiz, Luxemburg sowie die Städte Prag, Stettin und Straßburg. Die Internetseite „linien.info“ kann mit Mobilgeräten und Desktops genutzt werden._x000D_
_x000D_
Eine ausführlichere Beschreibung der Webseite "linien.info" ist auch als PDF unter &lt;https://www.berliner-linien.de/BL/dok/Doku_LI_2606.pdf&gt; verfügbar</t>
  </si>
  <si>
    <t>2024-06-11 06:14:30.317355</t>
  </si>
  <si>
    <t>101c1f33-344e-4458-82c9-f8a00a83ae0a</t>
  </si>
  <si>
    <t>visualisierung-der-grazer-bevolkerungsentwicklung</t>
  </si>
  <si>
    <t>Visualisierung der Grazer Bevölkerungsentwicklung</t>
  </si>
  <si>
    <t>In der isodemographischen Karte der Bevölkerungsentwicklung Graz 2006 - 2012 werden die einzelnen Stadtbezirke im Größenverhältnis proportional zur Einwohnerzahl im Jahr 2012 dargestellt. Die zeichnerische Größe und Form der Bezirksgrenzen wird dabei derart angepasst, dass in den dargestellten Flächen eine einheitliche Bevölkerungsdichte vorherrscht; die räumliche Lagebeziehung und Verteilung der Stadtbezirke zueinander bleiben jedoch weitgehend gleich._x000D_
Daraus lassen sich spezifische räumliche Trends und Entwicklungen ableiten: Die bevölkerungsreichsten Stadtbezirke sind Jakomini (35.800), Lend (32.000), Gries (29.300) und Geidorf (28.000); der Schwerpunkt der Grazer Bevölkerung liegt klar erkenntlich in den Bezirken um die Grazer Altstadt. Die höchsten Zuwachsraten und Dynamiken im Zeitraum Mai 2006 bis Mai 2012 sind – prozentuell betrachtet – in den Bezirken Lend (+ 9,2 %), Straßgang (+ 8,5 %) und Mariatrost (+ 8,1) zu verzeichnen. Im Vergleich der absoluten Zuwachszahlen liegen Lend (+ 2.700 EW), Jakomini (+ 1.300 EW) und Straßgang (+1.200) klar voran. Dem gegenüber stehen im selben Zeitraum die Bezirke mit den geringsten Zuwächsen: Ries (+ 0,3 % / 19 EW), Innere Stadt (+0,5 % / 21 EW), Waltendorf (+ 1,1 % / 149 EW) und Gries (+ 1,1 % / 332 EW).</t>
  </si>
  <si>
    <t>2024-06-11 06:14:31.431736</t>
  </si>
  <si>
    <t>["4d519b42-72fe-4059-837a-560c6083542e", "4f18ca71-38e9-4d55-9064-bc5085a50608"]</t>
  </si>
  <si>
    <t>f356db8a-3310-4283-922c-5751492de4c8</t>
  </si>
  <si>
    <t>spin-2</t>
  </si>
  <si>
    <t>SPIN (Gruppenprojekt)</t>
  </si>
  <si>
    <t xml:space="preserve">SPIN verwandelt die Straßen der Stadt in ein informative und verspielte Landschaft für Radfahrer. Dies wird durch eine Applikation und / oder interaktive Radgriffe ermöglicht, welche dem Radfahrer eine haptische Benutzeroberfläche bieten, um persönliche Leistungen und Routen zu erörtern._x000D_
_x000D_
Die Applikationsversion von SPIN lässt Personen die Grundfunktionen und den Nutzen erstmalig erkunden und erlaubt die Stadt mittels SPIN zu entdecken._x000D_
_x000D_
SPIN-User sind Radfahrer, welche der SPIN online community angehören. Die gesammelten Informationen, welche von den Mitgliedern simultan mit anderen Mitgliedern geteilt werden, kreieren eine relevante und crowd-gesourcte Datenbank._x000D_
_x000D_
Die Griffe bestehen aus 3 Sektionen:_x000D_
* Ein Licht-Blinker System, welches die Sichtbarkeit der Radfahrer erhöht,_x000D_
* ein Echtzeit-Benachrichtigungen, welche während des Radfahrens über aktuelle Verkehrssituationen informieren und_x000D_
* eine Spieleschalterung, welche das Erlebnis Radfahren reicher gestalten._x000D_
_x000D_
_x000D_
Die Idee der Applikation ist es, BewohnerInnen der Stadt zu helfen, folgende Daten der Stadt zu nutzen:_x000D_
* Open Source Karten / Live Verkehrs Updates / aktuelle Bauarbeiten_x000D_
* Nachbarschafts"Informationen" / Lebensqualität (siehe Bürgerinnenbefragung)_x000D_
* Einbindung der lokalen Geschäfte (durch "Tags" der Radfahrer)_x000D_
_x000D_
_x000D_
Dies bildet die Basis. Des weiteren existiert die Idee eines in sich geschlossenen Kreises, indem die BürgerInnen über Ihre Stadt und Entwicklungen innerhalb der Stadt informiert werden und gleichzeitig die BürgerInnen selbst Informationsquellen sind - indem sie Gegenden / Geschäfte "taggen". Zusätzlich soll dies die Lebensqualität heben (durch bessere Informierung; Radfahren zu fördern innerhalb der Stadt und Leute zur Outdoor Bewegung zu motivieren) und soziale Beziehungen in der Stadt stärken (Nachbarschaften). Dies ist jedoch den Bürgern überlassen, wie stark sie sich involvieren wollen und dies nutzen wollen._x000D_
_x000D_
</t>
  </si>
  <si>
    <t>2024-06-11 06:14:31.81099</t>
  </si>
  <si>
    <t>f7b4651c-0d1d-4be8-ac45-e72b2565611e</t>
  </si>
  <si>
    <t>kurzparkzonen-wien</t>
  </si>
  <si>
    <t>Kurzparkzonen Wien liefert Ihnen alle Informationen, die Sie rund ums Parken in Wien wissen müssen._x000D_
_x000D_
★ Sie wollen wissen, wo Parkraumgrenzen verlaufen und wie lange diese Kurzparkzonen gelten?_x000D_
Klicken Sie einfach auf die roten Flächen auf der Karte, um die gewünschte Information zu erhalten._x000D_
_x000D_
★ Sie benötigen Informationen über Kurzparkstreifen und Anrainerparkplätze, um ihre Fahrt in die Stadt besser planen zu können?_x000D_
Klicken Sie auf beliebige Kurzparkstreifen, um die gewünschten Detailinformationen zu erhalten._x000D_
(Das Detailfenster kann per Berührung wieder geschlossen werden)_x000D_
_x000D_
★ Sie suchen die nächsten Parkscheinstellen, Garagen oder Park&amp;Ride-Anlagen?_x000D_
Aktivieren Sie über das Menü die zusätzlichen Datenkataloge, um die gewünschte Information zu erhalten._x000D_
(Über das Detailfenster können Sie die Navigation aufrufen, um die Route zu diesen Standorten berechnen zu lassen)_x000D_
_x000D_
★ Sie wollen wissen, ob auf Ihrem Standort eine Kurzparkzone gilt?_x000D_
Klicken Sie in der Karte rechts oben auf das kleine Symbol um die Karte auf Ihren Standort zu zentrieren._x000D_
(Für diese Funktion muss GPS/Standort auf Ihrem Gerät aktiviert sein. Falls nicht, steht diese Funktion nicht zur Verfügung)_x000D_
_x000D_
★ Sie möchten erfahren, ob sich eine bestimmte Adresse in einer Kurzparkzone befindet?_x000D_
Benutzen Sie die Adresssuche, um die Karte auf eine bestimmte Adresse zu positionieren._x000D_
(Um den Adressmarker wieder zu löschen, klicken Sie auf diesen)._x000D_
_x000D_
★ Sie möchten zur besseren Orientierung die Satellitenansicht verwenden?_x000D_
Kein Problem, aktivieren Sie diese einfach über das Menü._x000D_
_x000D_
Sämtliche Datensätze und Zonen werden täglich aktualisiert._x000D_
_x000D_
Diese App verwendet Datensätze und Icons des Open Government Wien, "Datenquelle: Stadt Wien – data.wien.gv.at":_x000D_
Kataloge: Kurzparkzonen, Kurzparkstreifen, Anrainerparkplätze, Garagen und P+R-Anlagen, Parkscheinstellen, Geografisches Namensverzeichnis_x000D_
Icons: Parkschein-Verkaufsstellen, Parkgaragen-Standorte</t>
  </si>
  <si>
    <t>2024-06-11 06:14:32.395153</t>
  </si>
  <si>
    <t>04d10d6a-feda-4bb7-a9fd-21cc2d61a923</t>
  </si>
  <si>
    <t>wahlkabinen-gefluster-oo</t>
  </si>
  <si>
    <t>Wahlkabinen-Geflüster OÖ</t>
  </si>
  <si>
    <t xml:space="preserve">Du bist ein politikinteressierter Mensch oder möchtest einfach nur die Wahlergebnisse von Oberösterreich ansehen?_x000D_
_x000D_
Dann ist dieses App genau das, was du suchst!_x000D_
_x000D_
Mit Wahlkabinen-Geflüster OÖ kannst du dir die Ergebnisse (Stimmanteile der Parteien und die Wahlbeteiligung) ansehen. Dazu steht dir eine Tabellenansicht oder eine Kartenansicht (per In-App Kauf) zur Verfügung, (die jeweils bis auf Gemeindeebene reichen)_x000D_
_x000D_
FEATURES_x000D_
* Anzeige von Bundespräsidentwahlen, Europaparlamentswahlen, Gemeinderatswahlen, Landtagswahlen, Nationalratswahlen, Volksbefragungen (insgesamt 18 Datensätze von 1995 - 2013)_x000D_
* Tabellensicht auf Landes-, Wahlkreis-, Bezirks- und Gemeindeebene_x000D_
* Kartenansicht auf Landes-, Bezirks- und Gemeindeebene (per In-App Kauf)_x000D_
* Detailansicht mit Tortendiagramm_x000D_
* Per In-App Kauf kann die automatische Integration von neuen Wahlen (noch am Wahltag) aktiviert werden_x000D_
</t>
  </si>
  <si>
    <t>2024-06-11 06:14:32.608749</t>
  </si>
  <si>
    <t>0ec5af23-2845-4e42-8566-9c2c867a1fca</t>
  </si>
  <si>
    <t>doris-mobile-2</t>
  </si>
  <si>
    <t>DORIS mobile</t>
  </si>
  <si>
    <t>Mit "DORIS mobile" können Sie kostenlos alle jene Landkarten des Bundeslandes Oberösterreich nun auch auf ihrem Tablet-PC oder Smartphone nutzen, die Sie vielleicht schon von [www.doris.at](http://www.doris.at) kennen._x000D_
_x000D_
Es stehen Ihnen dabei eine Fülle von Landkarten zu den Themen Land- und Forstwirtschaft, Raumplanung, Umwelt- und Naturschutz, Verkehr, Wasser, Kunst und Kultur, etc. zur Verfügung. Diese können Sie mit unterschiedlichsten Hintergrundkarten wie hochgenauen Orthofotos, Ortsplänen und sogar historischen Landkarten kombinieren. Natürlich können Sie zu den einzelnen Themenbereichen auch weiterführende Informationen abfragen._x000D_
_x000D_
Sie haben weiters die Möglichkeit nach Adressen, Grundstücken, Orten, Flüssen, Bergen, etc. in Oberösterreich zu suchen und Entfernungen und Flächen in den Landkarten zu messen. Oder nutzen Sie die genauen Höhendaten von DORIS zur Höhenmessung von Punkten. Teilen Sie interessante Karten oder Ausschnitte ganz einfach per Email._x000D_
_x000D_
Entwicklung iOS App: Thomas Svitil ([thomas.svitil@codepool.at](mailto:thomas.svitil@codepool.at), &lt;http://www.codepool.at&gt;)_x000D_
_x000D_
Entwickung Android App: Simon Klein ([klein.simon@gmail.com](mailto:klein.simon@gmail.com))</t>
  </si>
  <si>
    <t>2024-06-11 06:14:32.652348</t>
  </si>
  <si>
    <t>5c3ada09-1b54-451e-9421-46efa6cd8598</t>
  </si>
  <si>
    <t>helios-entdecke-kunst-in-wien</t>
  </si>
  <si>
    <t>Helios - Entdecke Kunst in Wien</t>
  </si>
  <si>
    <t> _x000D_
_x000D_
Der Ballon Helios nimmt Dich mit auf eine Reise - entdecke spielerisch Kunstwerke und erfahre mehr über Deine Stadt!_x000D_
_x000D_
Helios soll jungen StadtbewohnerInnen und BesucherInnen Kunstwerke im öffentlichen Raum auf spielerische Art und Weise näher bringen. Dabei springt der User in die Rolle eines Heißluftballonfahrers der mit dem Kompass Kunstwerke entdecken kann. Dabei entfernt sich Helios von herkömmlichen Point-Of-Interest Lösungen und setzt den Fokus auf das "Entdecken" von nahe gelegenen Kunstwerken. Vor Ort wird der User dann mit interessanten Informationen rund um das gefundene Kunstwerk belohnt und erfährt so auf spielerische Art und Weise mehr über Wien._x000D_
_x000D_
Für die App wird der offene Datensatz "Kunstwerke im öffentlichen Raum" verwendet. Zusätzlich wurden 40 Fotos von ausgewählten Kunstwerken im Wiener Zentrum gemacht, welche das Auffinden für den User erleichtern sollen._x000D_
_x000D_
 </t>
  </si>
  <si>
    <t>2024-06-11 06:14:32.75791</t>
  </si>
  <si>
    <t>e8058b79-fd9a-4277-a4cf-0ff42b60f468</t>
  </si>
  <si>
    <t>willi-wiener-linien</t>
  </si>
  <si>
    <t>Willi - Wiener Linien</t>
  </si>
  <si>
    <t xml:space="preserve">Willi ist ein kostenloser Routenplaner für Smartphones. Der aktuelle Fahrplan von Öffis sowie alle Abfahrtszeiten werden unter Berücksichtigung eventueller Verspätungen und Störungen angezeigt._x000D_
_x000D_
Die Fahrplan App ermittelt die schnellste Verbindung für dich, nie mehr lange warten! Wann, Wie und Wohin mit Willi._x000D_
_x000D_
App starten und schon werden die Abfahrtszeiten der umliegenden Haltestellen angezeigt._x000D_
_x000D_
Sofort, einfach und vor allem schnell!_x000D_
_x000D_
Es können Startpunkt und Zielort wahlweise in Form von Haltestellen oder mittels aktueller Positionen sowie der Straßenkarte eingegeben werden. Willi zeigt die gewünschte Route von Tür zu Tür inklusive aller Fußwege._x000D_
_x000D_
Kurzfassung der Funktionen (Features):_x000D_
* Abfahrtszeit von Haltestellen abfragen_x000D_
* Haltestellen finden und hinführen_x000D_
* Fahrplaner - Tür zu Tür Routenberechnung_x000D_
* Haltestellen auf Straßenkarte anzeigen_x000D_
* Route inklusive Fußwege und Taxi_x000D_
* Echtzeit Prognosedaten enthalten eventuelle Verspätungen_x000D_
* Automatische Anzeige von Abfahrten in der Nähe_x000D_
* Alarm Funktion – Erinnerung für eine Abfahrt_x000D_
* Netzplan - inklusive Nightliner_x000D_
* Aktuelle Störungsinformationen / Fahrplanänderungen_x000D_
* Teile Routen &amp; Abfahrten mit deinen Freunden (Facebook, Twitter…)_x000D_
</t>
  </si>
  <si>
    <t>2024-06-11 06:14:33.394581</t>
  </si>
  <si>
    <t>354f8b78-d563-4344-a4f2-d2857fddf382</t>
  </si>
  <si>
    <t>busgeld-rechner-oesterreich</t>
  </si>
  <si>
    <t>Bußgeld Rechner Österreich</t>
  </si>
  <si>
    <t>Bußgeld Rechner Österreich - Was kostet es?_x000D_
_x000D_
Hat dich die Polizei erwischt? Was kostet ein Verkehrsdelikt in Österreich?_x000D_
_x000D_
★ Geblitzt_x000D_
_x000D_
★ Mit Alkohol am Steuer (0.5 - 2 Promille)_x000D_
_x000D_
★ Rotlicht überfahren_x000D_
_x000D_
★ Falsch geparkt_x000D_
_x000D_
★ Wir sagen was es kostet! Neu angepasst an die Strafrahmen Erhöhungen für  Organmandate und Anonymverfügungen._x000D_
_x000D_
★ Der Bußgeld Katalog für Österreich mit vielen Strafen und Rechtsfolgen!_x000D_
_x000D_
 _x000D_
_x000D_
★ GELD ODER GEFÄNGNIS ★_x000D_
_x000D_
Mit dem Strafen Katalog siehst Du in Euro was Du berappen musst oder ob Du gleich hinter schwedische Gardinen eingelocht wirst._x000D_
_x000D_
Du bist zu schnell gefahren (Geschwindigkeitsübertretung)? Wir sagen Dir ob und wie lang Dein Führerschein weg ist._x000D_
_x000D_
 _x000D_
_x000D_
★ STRAFE ODER FERIEN ★_x000D_
_x000D_
Zudem sammelt Dir das Strafregister auch noch alle Bussen und am Ende des Jahres darfst Du Bilanz ziehen. Hättest Du dir dafür einen Urlaub leisten können?_x000D_
_x000D_
 _x000D_
_x000D_
★ ALLES MIT DABEI ★_x000D_
_x000D_
Der Bussenrechner berechnet Dir alle möglichen Verkehrsstrafen:_x000D_
* Gerast? Der Rechner sagt Dir was es kostet und ob der Führerschein weg ist._x000D_
* Zu schnell gefahren? geblitzt oder Radar mit Foto? Der Rechner sagt Dir was es kostet._x000D_
* Mit Alkohol am Steuer? Der Rechner sagt Dir, was die Konsequenzen sind. Bei zu viel Promille im Blut zeigen wir Dir Alkohol Beratungsstellen (Datenquelle: Land Oberösterreich - data.ooe.gv.at)_x000D_
* Falsch geparkt (Halteverbot, oder Kurzparkzone)? Ein Knöllchen oder Strafzettel bekommen? Der Rechner sagt Dir, mit was Du rechnen musst._x000D_
* Bei einer roten Ampel über die Kreuzung gefahren? Der Rechner sagt Dir, mit was zu rechnen ist._x000D_
* Suche in einer Liste nach den häufigsten Verkehrsübertretungen (eine Auswahl meist straßenverkehrsrechtlicher Bestimmungen)_x000D_
* Telefoniert am Steuer oder beim Fahrradfahren? Die App sagt dir mit wie viel Geld Du den Polizeiball unterstützt._x000D_
* Dem Vordermann zu dicht aufgefahren? Wir wissen was du berappen musst._x000D_
_x000D_
_x000D_
Im Gegensatz zu manchen Ländern Europas besteht in Österreich kein einheitlicher Delikts- und Strafenkatalog. Daher werden in der App die maximal Beträge angegeben. Unterschiede treten auf zwischen Organstrafverfügung (Organmandat) gem § 50 VStG und Anonymstrafverfügung gem § 49a VStG. Es können Schwankungen im Ausmaß von 50 % zwischen den einzelnen Behördensprengel auftreten. Der Katalog beinhaltet über 300 Vergehen aus dem österreichischen Gesetz mit allen Konsequenzen, angepasst auf die neuste Gesetzgebung. Sanktionen nach schweren Verkehrsübertretungen werden abgesehen von der Verwaltungsstrafe und dem möglichen Führerscheinentzug in das Führerschein-Vormerksystem eingetragen.</t>
  </si>
  <si>
    <t>2024-06-11 06:14:34.232316</t>
  </si>
  <si>
    <t>7b3f2f27-6888-4cef-8d7d-655546f61a0e</t>
  </si>
  <si>
    <t>wanderwege-wien-3</t>
  </si>
  <si>
    <t>Diese App ist dein Begleiter auf den Wiener Stadtwanderwegen. Hier bekommst du den genauen Wegverlauf von 11 Stadtwanderwegen im Wiener Grüngürtel._x000D_
_x000D_
Alle vom Forstamt und Landwirtschaftsbetrieb der Stadt Wien (MA 49) angebotenen Wanderwege sind gut beschildert und mit öffentlichen Verkehrsmitteln erreichbar. Um niemals den richtigen Pfad zu verlieren, kannst du in dieser App die Wanderrouten der Stadtwanderwege auf der Karte sehen._x000D_
_x000D_
Insgesamt sind 11 Stadtwanderwege enthalten:_x000D_
* Stadtwanderweg 1 - Kahlenberg_x000D_
* Stadtwanderweg 1a - Leopoldsberg_x000D_
* Stadtwanderweg 2 - Hermannskogel_x000D_
* Stadtwanderweg 3 - Hameau_x000D_
* Stadtwanderweg 4 - Jubiläumswarte_x000D_
* Stadtwanderweg 4a - Ottakring_x000D_
* Stadtwanderweg 5 - Bisamberg_x000D_
* Stadtwanderweg 6 - Zugberg-Maurer Wald_x000D_
* Stadtwanderweg 7 - Laaer Berg_x000D_
* Stadtwanderweg 8 - Sofienalpe_x000D_
* Stadtwanderweg 9 - Prater_x000D_
_x000D_
_x000D_
Hauptfunktionen:_x000D_
* Die Wiener Stadtwanderwege 1 bis 9 werden dir auf der Landkartegenau angezeigt._x000D_
* Du kannst alle Wege einzeln ein- und ausblenden._x000D_
* Die aktuelle Position wird angezeigt_x000D_
* Du kannst zwischen Satelliten- oder Kartenansicht wählen._x000D_
* Stadtwanderweg 1, 4 und 9 sind kostenlos enthalten._x000D_
* Die restlichen Wege können einzeln oder alle auf einmal in der App gekauft werden._x000D_
* Wandermodus in dem die Karte deiner aktuellen Position folgt_x000D_
_x000D_
_x000D_
Bei Fragen kannst du dich jederzeit bei [support@apptour.at](mailto:support@apptour.at) melden.</t>
  </si>
  <si>
    <t>2024-06-11 06:14:34.523094</t>
  </si>
  <si>
    <t>7fbcd429-4dbe-4fdf-8f31-4d233e07222a</t>
  </si>
  <si>
    <t>solarize-2</t>
  </si>
  <si>
    <t>Solarize</t>
  </si>
  <si>
    <t>Immer mehr stellen um auf alternative Energiequellen. Besonders interessant ist dabei die Umstellung auf Sonnenenergie: Da kann man nicht nur die Umwelt schonen, sondern mittelfristig sogar Geld sparen._x000D_
_x000D_
Solarize dient zur Schaffung einer Übersicht zum Thema Solar- und Photovoltaikanlagen. Anhand der örtlichen Sonneneinstrahlung wird für dich errechnet, was an deinem Standort eine solche Anlage bringt. So erhältst du einen Überblick über Kosten, Nutzen und Einsparungsmöglichkeiten durch die Anschaffung einer Solar- und Photovoltaikanlage._x000D_
_x000D_
Die Ergebnisse beruhen großteils auf Open Data des Landes Oberösterreich sowie auf Informationen des Oberösterreichischen Energiesparverbandes. Genauere Daten zu unseren Quellen und Berechnungsgrundlagen findest du auf unserer Referenzseite._x000D_
_x000D_
Da Solarize auf oberösterreichischen Daten basiert, können derzeit leider nur für oberösterreichische Adressen Ergebnisse gefunden werden. Wir arbeiten derzeit an einer Ausweitung unserer Services.</t>
  </si>
  <si>
    <t>2024-06-11 06:14:35.484957</t>
  </si>
  <si>
    <t>869ba96d-b884-4113-a4b7-08893a6187f1</t>
  </si>
  <si>
    <t>geostar-2</t>
  </si>
  <si>
    <t>Geostar</t>
  </si>
  <si>
    <t>Die Grundidee ist eine App zur Ergänzung des Geographie und Wirtschaftskunde Unterrichts in verschiedenen Schulstufen. Die App ist auf den Lehrplan (oder besser noch auf ein bestimmtes Lehrbuch) abgestimmt um Schülern einen leichten Einstieg zu gewähren. Im Falle einer Kooperation mit einem Verlag kann die App als eine Erweiterungs-App zu einer bestimmten Lehrbuchreihe betrachtet werden._x000D_
_x000D_
Die Inhalte, welche durch die App vermittelt werden sollen darauf abzielen, den gelernten Stoff zu wiederholen / festigen, und für interessierte Schüler weiterführende Informationen zu bieten. Zusätzlich zu dem im Unterricht vermittelten Stoff (beispielsweise Geburtenrate und Einwohnerzahl von Österreich oder Migrationsbewegungen) können zusätzliche Grafiken und Werte über Oberösterreich konsumiert werden._x000D_
_x000D_
Die App sollte folgende Funktionen bieten:_x000D_
_x000D_
Darstellung von verschiedenen Karten (Orthofoto, Topographisch, Satellit) Darstellung von Inhalten mit Karte (Klimazone(n), Gesteinsarten, etc.) Darstellung von Inhalten ohne Karte (z.B. Geburtenrate, Altersverteilung usw.) auf verschiedenen Zeitebenen._x000D_
_x000D_
Um einen weiteren Anreiz und Mehrwert für die Nutzer zu schaffen beinhaltet die App auch Minispiele um das Interesse an Geographie im allgemeinen zu wecken / stärken. Mögliche Minispiele:_x000D_
_x000D_
Bestimmung von Objekten auf einer blinden Karte (Bundesland, Bezirk, Stadt, Viertel, eigene Position, Flüsse, Gebirge, Bodenart, Erfassung der Eigenart österreichischer Landschaften auf  Karten, Luft - und Satellitenbildern)._x000D_
_x000D_
Geo Quiz_x000D_
_x000D_
Die Zielgruppe der App sind Schüler in den Schuljahren nach der Volkschule bis zum Abschluss (Maturaniveau). Interessierte Schüler können mit der App den Stoff etwas vertiefen, indem zusätzliche Informationen über die Region konsumiert werden können (bundeslandspezifische Daten). Sie können aber auch österreichweiten Stoff wiederholen (Zusammenfassen von Daten aller Bundesländer)._x000D_
_x000D_
Speziell in der 7. Schulstufe (3 Klasse) und 11. Schulstufe (7 Klasse), wo Österreich im Mittelpunkt der Betrachtung steht eignet sich die Verwendung der App._x000D_
_x000D_
In den Tabletklassen ist es natürlich denkbar die App auch im Unterricht zu verwenden._x000D_
_x000D_
Von dieser Idee können aber nicht nur Schüler profitieren. Ein Lehrbuchverlag könnte seinen ersten Schritt ins digitale lernen wagen. Dieser Verlag würde den Markt früh besetzen und sich dadurch gegenüber der Konkurrenz einen Wettbewerbsvorteil sichern. In den Lehrbüchern könnten entsprechende Verweise auf gewisse Inhalte / Lehreinheiten in der App untergebracht werden.</t>
  </si>
  <si>
    <t>2024-06-11 06:14:35.619353</t>
  </si>
  <si>
    <t>783269e6-dc69-4c6a-8299-38f5a0324181</t>
  </si>
  <si>
    <t>citymaking-wien-3</t>
  </si>
  <si>
    <t>CityMaking.Wien</t>
  </si>
  <si>
    <t>CityMaking!Wien ist eine Online-Toolbox, die die Gestaltung und Einreichung von Parklets in Wien ermöglicht. Dadurch wollen wir es den Bürgern erleichtern sich an der Entwicklung ihrer Nachbarschaft zu beteiligen. Momentan bietet CityMaking!Wien vier verschiedene Tools an:_x000D_
1 - Grundlegende Informationen über die Gestaltung und den Bau eines Parklets in Wien. Hier findest du allgemeine Informationen sowie spezielle Informationen über Sicherheit und Design eines Parklets._x000D_
2 - Eine Parkletpotenzialkarte, die zeigt, wo ein Parklet möglich wäre. Jene Parkflächen, wo kein Parklet möglich ist, wurden rot eingefärbt. Die Karte vereinfacht das Verständnis der Vorschriften und soll Anregungen bezüglich der Nutzung des öffentlichen Raums geben._x000D_
3 - \*Neu\* Ein Design-Tool, das die Erstellung der erforderlichen Pläne für die Einreichung bei der Stadt Wien erleichtert. Das Tool ist sehr einfach zu bedienen und berücksichtigt dennoch viele der Anforderungen hinsichtlich Abmessungen und Sicherheit. Die erstellten Pläne können herunterladen und nach den eigenen Vorstellungen bearbeitet werden._x000D_
4 - Ein Online-Einreichungs-Tool, mit dem man einen Antrag für ein Parklet bei der Stadt Wien einreichen kann. Hier kannst du in Kontakt mit den Behörden treten, um eine Genehmigung für die Nutzung von Parkplätzen zu erhalten. Zudem findest du hier alle Informationen über die benötigten Dokumente.</t>
  </si>
  <si>
    <t>2024-06-11 06:14:36.534858</t>
  </si>
  <si>
    <t>["946a1d1c-27ea-49d4-93be-9ac68b399a20", "6d92970a-d698-418b-8576-f3b03dc1a59a", "25267974-6d44-455e-b76f-248e29ff7df7", "a14e57c4-ea1c-4a7a-863a-b874ccf23790", "5e6175cd-dc44-4b32-a64a-1ac4239a6e4a"]</t>
  </si>
  <si>
    <t>fdba9f4f-4685-4068-8cc6-edf2ce741c1e</t>
  </si>
  <si>
    <t>geotraining-2</t>
  </si>
  <si>
    <t>GeoTraining</t>
  </si>
  <si>
    <t>Elektronische Helfer am Smartphone unterstützen uns immer mehr in unserem täglichen Tagesablauf._x000D_
_x000D_
Dabei ist es aber trotzdem wichtig, dass gewisse Grundkenntnisse nicht verloren gehen. Z.B. soll jedes Mitglied einer Einsatzorganisation wie Feuerwehr, Polizei oder Rettung in der Lage sein Straßen oder Orte ohne Zuhilfenahme elektronischer Hilfsmittel zu finden._x000D_
_x000D_
Geo-Training.at soll dabei helfen dieses Wissen spielerisch aufzubauen und dabei die Ortskunde wieder attraktiver machen._x000D_
_x000D_
Spieler können ihre Leistungen untereinander auf einer Bestenliste vergleichen._x000D_
_x000D_
Anleitung:_x000D_
Es werden rechts oben insgesamt 5 Straßen oder Hofnamen nach der Reihe gesucht. Die Zeit arbeitet gegen Dich, pro falschen Versuch gibt es auch Punkte Abzug. Zum Schluss bekommt man eine Gesamtpunkteanzahl. Versuche so schnell wie möglich den richtigen Ort zu finden._x000D_
_x000D_
Wer sich in der Bestenliste verewigen will muss sich anmelden, ansonsten wird das Ergebnis nicht gespeichert.</t>
  </si>
  <si>
    <t>2024-06-11 06:14:36.673895</t>
  </si>
  <si>
    <t>["254757be-69ef-4a6c-a4c1-1432815d7522"]</t>
  </si>
  <si>
    <t>b94c2bad-4e71-463c-be9b-22fae246872b</t>
  </si>
  <si>
    <t>travic</t>
  </si>
  <si>
    <t>TRAVIC</t>
  </si>
  <si>
    <t>TRAVIC ist ein weltweit verfügbarer Tracker des ÖPNV._x000D_
_x000D_
Im Gegensatz zu manch anderem Tracker ist TRAVIC auf hohe Perfomanz ausgelegt. Damit lassen sich einmal sehr große Datenmengen verarbeiten (derzeit sind über 700 Transportunternehmen weltweit integriert). Andererseits erfolgt die Darstellung der Verkehrsmittel besonders flüssig und ohne zu ruckeln._x000D_
_x000D_
Die Fahrtverläufe aller Verkehrsmittel in TRAVIC folgen exakten geographischen Routen. Wenn die exakten Verläufe nicht bereits in den Fahrplandaten enthalten sind, verwendet TRAVIC einen ausgefeilten Routing-Algorithmus, der für die verschiedenen Verkehrsmittel einschliesslich Bussen die korrekten Routen findet._x000D_
_x000D_
Die Publikation von TRAVIC hat weltweit grosses positives Feedback ausgelöst. Vor allem die Publikation auf Kanälen wie wired.com oder golem.de hat bewirkt, dass bis zu einer halben Million Zugriffe auf TRAVIC pro Monat erfolgt sind._x000D_
_x000D_
Das Projekt entstand in Kooperation mit der Uni Freiburg als Master Thesis von Patrick Brosi (&lt;http://patrickbrosi.de&gt;). Seit Abschluss der Thesis wird TRAVIC von geOps und Patrick gemeinsam betrieben. TRAVIC ist einerseits ein Showcase, was mit öffentlichen Fahrplandaten möglich ist, andererseits steht TRAVIC auch stellvertretend für individuelle Lösungen, die unsere Firma im Bereich des ÖPNV bietet.</t>
  </si>
  <si>
    <t>2024-06-11 06:14:36.847398</t>
  </si>
  <si>
    <t>b404f963-b931-4baa-b373-4aa0f28ab714</t>
  </si>
  <si>
    <t>moovel</t>
  </si>
  <si>
    <t>Die moovel App bietet Ihnen einen einfachen und intuitiven Zugang zu all den Informationen, die Sie benötigen um schnell und effektiv Ihren Weg durch Wien zu finden._x000D_
_x000D_
Was ist das Besondere an der moovel App?_x000D_
_x000D_
Die moovel App wurde speziell für Pendler entwickelt, damit Sie entspannter ankommen - jeden Tag. Die App enthält alle Informationen, die benötigt werden, um sich im öffentlichen Nahverkehr zurechtzufinden, mit genauen Informationen zu “Ihrem” Bus oder “Ihrer” Bahn._x000D_
_x000D_
Wenn man die moovel App aufmacht, beantwortet sie dem Nutzer bereits die erste Frage: “Wie komme ich hier weg?” Haltestellen in Ihrer Nähe sowie Abfahrtszeiten der nächsten Linen werden direkt angezeigt._x000D_
_x000D_
Wenn Sie nicht schon bereits als “Local” wissen, wie Sie zu Ihrem Ziel kommen, bekommen Sie über die “A-nach-B-Suche” eine übersichtliche Zusammenstellung Ihrer Routenoptionen._x000D_
_x000D_
Verspätungen haben Sie immer im Blick, denn wir reichern die Fahrplaninformationen mit Echtzeitdaten an, denn wir wollen, dass Ihnen nie wieder Ihr Bus vor der Nase wegfährt._x000D_
_x000D_
Sie fahren regelmäßig zu den selben Zielen? Zuhause, Arbeit, Fitnessstudio, Freundin? Speichern Sie einfach Ihre Favoriten und kommen Sie besser an._x000D_
_x000D_
Sie sind auch schonmal im Zug eingeschlafen und haben Ihre Haltestelle verpasst? moovel warnt Sie rechtzeitig, wann Sie aus- und umsteigen müssen._x000D_
_x000D_
Wenn es doch mal später wird und Sie den letzten Bus verpasst haben: Mit einer Verlinkung zu UBER halten wir immer einen Plan B für Sie bereit.</t>
  </si>
  <si>
    <t>2024-06-11 06:14:37.245314</t>
  </si>
  <si>
    <t>02ffc60f-260d-4ade-9be9-676a1a0fcfa7</t>
  </si>
  <si>
    <t>daten-waben</t>
  </si>
  <si>
    <t>Daten-Waben</t>
  </si>
  <si>
    <t>In vielen Städten und Kommunen sind in den letzten Jahren Open Data-Portale entstanden. Für den Bürger sind die darin enthaltenen Daten abrufbar - aber nicht greifbar. Welche Informationen verbergen sich hinter CSV- oder SHP-Dateien? Um einen Eindruck von den Inhalten und der thematischen Vielfalt zu erhalten, muss man die Inhalte auf einfache Weise visualisieren._x000D_
_x000D_
Jeder Datensatz aus dem Datenportal wird in einem Sechseck dargestellt. Manchmal sieht man nur einen interessanten Aspekt, manchmal Durchschnittszahlen und manchmal sich ändernde Werte (diese zeigen die Veränderungen an, die seit dem Aufruf der Grafik entstanden sind). Einen kleinen Beschreibungstext erhältst du, wenn du auf das Sechseck klickst. Auf der Rückseite findest du auch einen Link direkt zum Datensatz im Datenportal.</t>
  </si>
  <si>
    <t>2024-06-11 06:14:38.271768</t>
  </si>
  <si>
    <t>18347157-d60d-46e2-9b59-2b31fa26d321</t>
  </si>
  <si>
    <t>wann-deine-abfahrten-sofort</t>
  </si>
  <si>
    <t>Wann - Deine Abfahrten. Sofort.</t>
  </si>
  <si>
    <t>Du startest Wann und erfährst augenblicklich, wann und wo dein nächster Bus, deine nächste Bim oder deine nächste Bahn fährt. Kein Auswählen, kein Einstellen, kein Warten._x000D_
_x000D_
Nie mehr unnötig in der Kälte stehen: Schau vor dem Verlassen des Hauses nach, wann genau dein Bus kommt. Musst du schon laufen, oder kannst du gemütlich gehen? Wann sagt es dir– ganz ohne tippen!_x000D_
_x000D_
✔ Schnell &amp; einfach_x000D_
_x000D_
Wann sagt dir sofort, wann die öffentlichen Verkehrsmittel in deiner Nähe abfahren. Starte Wann, und schon siehst du die Abfahrtszeiten in deiner Nähe. Du musst nichts mehr einstellen, auswählen oder tippen. Wann berechnet auch deine Gehzeiten ein: Die Abfahrtszeiten, die du erreichen kannst, werden hervorgehoben._x000D_
_x000D_
✔ Automatische Aktualisierung_x000D_
_x000D_
Immer up-to-date: Egal, ob du dich bewegst oder ob die Zeit vergeht, Wann aktualisiert sich ganz von selbst! Schluss mit manuellem Aktualisieren: Die Abfahrtszeiten erneuern sich selbstständig in Echtzeit. Bewegst du dich von einem Ort zum anderen, reiht sich deine nächste Station automatisch ganz oben auf deinem Bildschirm ein._x000D_
_x000D_
✔ Karten_x000D_
_x000D_
Du hast den Stadtplan nicht im Kopf? Kein Problem, Wann hilft auch hier weiter: Wenn du nicht weißt, wo sich eine Haltestelle befindet, zeigt dir Wann den Weg von deinem Standort zur Station._x000D_
_x000D_
✔ Barrierefrei_x000D_
_x000D_
Wann integriert die neusten iOS 6 Technologien, damit auch Menschen mit Sichteinschränkungen die App nutzen können. Dank der Gesten-Funktion kann dir Wann alles vorlesen, was gerade auf deinem Wann-Bildschirm zu sehen ist.</t>
  </si>
  <si>
    <t>2024-06-11 06:14:39.396049</t>
  </si>
  <si>
    <t>["d3c0a223-516b-4049-9370-22881a0428d8", "7562f659-398d-46d7-9167-7f9ccaa00263", "522d3045-0b37-48d0-b868-57c99726b1c4"]</t>
  </si>
  <si>
    <t>b8f8b52f-3216-4ba4-b07f-21edd85760a8</t>
  </si>
  <si>
    <t>wann-today</t>
  </si>
  <si>
    <t>Wann Today</t>
  </si>
  <si>
    <t>**Deine Abfahrten. Sofort. In Wien, Genf und Linz!**_x000D_
_x000D_
Du startest Wann Today und erfährst augenblicklich, wann und wo dein nächster Bus, deine nächste Bim oder deine nächste Bahn fährt. Direkt als Widget ohne dass du das App starten musst._x000D_
_x000D_
Nie mehr unnötig in der Kälte stehen: Schau vor dem Verlassen des Hauses nach, wann genau dein Bus kommt. Musst du schon laufen, oder kannst du gemütlich gehen? Wann Today sagt es dir._x000D_
_x000D_
**Today Widget**_x000D_
_x000D_
Sehe deine Abfahrten direkt aus dem Notification Center. Du musst nicht mehr deinen Bildschirm entsperren und die App starten! Ziehe einfach die "Heute Ansicht" auf deinem Sperrbildschirm herunter und du siehst was in deiner Nähe wann wegfährt._x000D_
_x000D_
**Suche deine Linien aus**_x000D_
_x000D_
Viele Linien fahren von deiner Station ab, aber Wann Today zeigt dir nur die die du tatsächlich verwendest. Du musst dich durch keine lange Liste arbeiten um die Abfahrt zu sehen die du brauchst._x000D_
_x000D_
**Automatische Aktualisierung**_x000D_
_x000D_
Immer up-to-date: Egal, ob du dich bewegst oder ob die Zeit vergeht, Wann Today aktualisiert sich ganz von selbst! Schluss mit manuellem Aktualisieren: Die Abfahrtszeiten erneuern sich selbstständig in Echtzeit. Bewegst du dich von einem Ort zum anderen, reiht sich deine nächste Station automatisch ganz oben auf deinem Bildschirm ein._x000D_
_x000D_
**Karten**_x000D_
_x000D_
Du hast den Stadtplan nicht im Kopf? Kein Problem, Wann hilft auch hier weiter: Wenn du nicht weißt, wo sich eine Haltestelle befindet, zeigt dir Wann den Weg von deinem Standort zur Station._x000D_
_x000D_
**Barrierefrei**_x000D_
_x000D_
Wann integriert die neusten iOS Technologien, damit auch Menschen mit Sichteinschränkungen die App nutzen können. Dank der Gesten-Funktion kann dir Wann alles vorlesen, was gerade auf deinem Wann-Bildschirm zu sehen ist.</t>
  </si>
  <si>
    <t>2024-06-11 06:14:39.42741</t>
  </si>
  <si>
    <t>["522d3045-0b37-48d0-b868-57c99726b1c4", "21fca925-12ac-4215-ba1a-a9c73cb3b082", "d3c0a223-516b-4049-9370-22881a0428d8", "884c0d9f-f790-41c2-a2a5-351b7c434896", "7562f659-398d-46d7-9167-7f9ccaa00263"]</t>
  </si>
  <si>
    <t>410b3c8e-bae6-40b4-9372-65b22a28338d</t>
  </si>
  <si>
    <t>linz-faehrt</t>
  </si>
  <si>
    <t>linz fährt</t>
  </si>
  <si>
    <t>linz fährt - mit dieser Anwendung hat man den öffentlichen Verkehr in Linz immer im Überblick! Auf einer Karte werden die aktuellen Positionen aller öffentlichen Verkehrsmittel, die gerade unterwegs sind, angezeigt. Mit nur einem Klick auf ein Verkehrsmittel oder eine Haltestelle erhält man nützliche Zusatzinformationen, von den nächsten Abfahrtszeiten bis hin zu den aktuellen Verspätungen einzelner Verkehrsmittel._x000D_
_x000D_
Die Anwendung besitzt eine eigene Version für mobile Geräte. Eine Installation einer App ist dafür nicht notwendig, sondern linz.faehrt.at wird einfach im Browser aufgerufen. Bei mobilen Geräten wird automatisch die entsprechend optimierte Version angezeigt. Zusätzlich ist eine BlackBerry-App in Entwicklung.</t>
  </si>
  <si>
    <t>2024-06-11 06:14:39.462007</t>
  </si>
  <si>
    <t>["7562f659-398d-46d7-9167-7f9ccaa00263", "884c0d9f-f790-41c2-a2a5-351b7c434896", "d3c0a223-516b-4049-9370-22881a0428d8"]</t>
  </si>
  <si>
    <t>0c80a2e5-1721-49db-8620-71ea18f3ee21</t>
  </si>
  <si>
    <t>lingeo-linzer-geo-datenbank</t>
  </si>
  <si>
    <t>Lingeo - Linzer GEO Datenbank</t>
  </si>
  <si>
    <t>Du bist neu in Linz oder behältst einfach nur gern den Überblick?_x000D_
Mit Lingeo weißt du immer genau wo es WLAN-Hotspots gibt, wo die nächste Haltestelle liegt, wie du am schnellsten zu einer Apotheke kommst,..._x000D_
_x000D_
Lingeo zeigt aber nicht nur Richtung und Entfernung an, sondern durch einfaches Übereinanderziehen zweier Punkte, kann auch die Route mit Google Maps bzw. mit SCOTTY mobil (bei Fahrt mit Öffis) berechnet werden._x000D_
_x000D_
Außerdem besteht die Möglichkeit eigene Adressen (auch außerhalb von Linz) einzugeben und somit Entfernung und Richtung anzeigen zu lassen._x000D_
_x000D_
Funktionen:_x000D_
* Homescreen mit bis zu 12 Locations (8 Linzer POIs, 3 eigene Adressen und ein Ausgangspunkt)_x000D_
* Innovative Benutzerführung_x000D_
* Entfernungsberechnung mit automatischer Anzeige der nächstgelegenen Location_x000D_
* Karten- oder Listenansicht mit Suchfunktion_x000D_
* Ausgewählte Kategorien werden auf SD-Karte gespeichert und sind somit auch offline verfügbar_x000D_
* Fahrscheinkauf per SMS_x000D_
_x000D_
_x000D_
 Folgende Kategorien der Stadt Linz (POIs) sind zur Zeit verfügbar:_x000D_
_x000D_
* Hotspot Geodaten_x000D_
* Linz Linien Haltestellen_x000D_
* Sportanlagen_x000D_
* Spielanlagen_x000D_
* Veranstaltungsort_x000D_
* Club Aktiv_x000D_
* Apotheke_x000D_
* Krankenhäuser_x000D_
* Ambulatorien_x000D_
* Jugendzentren_x000D_
* Kindergarten_x000D_
* Krabbelstube_x000D_
* Horte_x000D_
* Sozialberatungsstellen_x000D_
* Seniorenzentren_x000D_
_x000D_
_x000D_
 Datenquelle: CC-BY-3.0: Stadt Linz - data.linz.gv.at_x000D_
_x000D_
Hinweis: Da die Daten von einer externen Quelle (data.linz.gv.at) stammen, kann keine Gewähr für die Aktualität, Korrektheit oder Verfügbarkeit der Daten übernommen werden.</t>
  </si>
  <si>
    <t>2024-06-11 06:14:39.527716</t>
  </si>
  <si>
    <t>["b2068d46-de7f-4a22-a563-4dea59b1e6f2", "7562f659-398d-46d7-9167-7f9ccaa00263", "b77d0b46-306c-46da-b26d-6e4dd718fde7", "3cca23c2-2aa6-4421-96db-8b914de62d56", "c6bbfc6f-6700-40eb-9537-ab182075c8f8", "d61ed212-9915-4018-a350-caecfda3e0c6", "53b70911-67ee-459b-a573-130272275a91", "d780bf4f-063e-4c21-bb28-62c8d1d79cdc", "a7bfaed4-c1df-4448-894b-8effdfaed52d", "fa02a3b3-deaf-49c2-8276-ed0393e61574", "f35b2a10-4d8b-40f3-9eb7-15d84c2f7f58", "1ac8b693-987f-47bd-ac7b-f432b01a04a3", "46825ece-d165-4b64-bea7-8964b8afdfe3", "e34d45e3-070b-44e7-9a65-7c268fa79fc7"]</t>
  </si>
  <si>
    <t>10ca6601-fb78-49ab-8a2f-0fbaa9cbb0a1</t>
  </si>
  <si>
    <t>fruchtfliege-obstbaume-auf-offentlichem-grund</t>
  </si>
  <si>
    <t>Fruchtfliege – Obstbäume auf öffentlichem Grund</t>
  </si>
  <si>
    <t>Mit der Webseite und Web-App Fruchtfliege können Obstbäume auf öffentlichem Grund in Wien gefunden werden. Die Initiative startete als Crowdsourcingprojekt, bei dem die Nutzerinnen und Nutzer Standorte von öffentlich zugänglichen Obstbäumen melden. Mittlerweile sind OGD-Standortdaten aus dem Bestand des [Baumkatasters](https://www.data.gv.at/katalog/dataset/c91a4635-8b7d-43fe-9b27-d95dec8392a7/) erfasst._x000D_
_x000D_
Neben einer Filterung nach Fruchtart ist auch eine Anzeige aktuell reifer Früchte während eines bestimmten Zeitraums möglich. Informationen und Rezepte zu den verschiedenen Obstsorten runden das Angebot ab._x000D_
_x000D_
Die Seite ruft zu einem sorgsamen Umgang mit den Obstbäumen um: "verletze keine Äste", "Unreifes soll am Baum bleiben", "lasse Dich nicht zu Obstdiebstahl aus privaten Gärten verleiten", "die kommerzielle Nutzung von Früchten ist in der Regeln nicht gestattet"._x000D_
### Link_x000D_
_x000D_
_x000D_
[Fruchtfliege Info-Seite](http://frucht-fliege.blogspot.com/)_x000D_
[Fruchtfliege Webseite für Meldungen](https://fruchtfliege.crowdmap.com/)</t>
  </si>
  <si>
    <t>2024-06-11 06:14:39.990758</t>
  </si>
  <si>
    <t>8f47d706-6610-4857-aae8-64889e0ce2b8</t>
  </si>
  <si>
    <t>poiradar</t>
  </si>
  <si>
    <t>POIRadar</t>
  </si>
  <si>
    <t xml:space="preserve">Das aktuelle Leistungsspektrum der POIRadar-App umfasst die nachfolgend angeführten Hauptfunktionalitäten_x000D_
* Automatische Bereitstellung der über die Open Data Government Plattform data.gv.at veröffentlichten POIs, ohne der Notwendigkeit, die App hierfür laufend aktualisieren zu müssen._x000D_
* Ortsübergreifende Darstellung von POIs (keine Beschränkung auf einzelne Orte; z.B. finden Sie mit der POIRadar-App alle veröffentlichten Apothekenstandorte, egal ob Sie sich in Graz, Linz oder in der Gemeinde Engerwitzdorf befinden...)_x000D_
* Leistungsfähige Geodatenintegration auf Basis von Google Maps (Kartendarstellung, Routenberechnung, Navigation sowie einer animierten "Map-Camera"-Funktion)_x000D_
* Radarfunktion: Automatische Überwachung von aktuell bis zu drei frei wählbaren POI-Kategorien (z.B. automatische Anzeige aller Sehenswürdigkeiten im Umkreis von 500m des aktuellen Standortes mit laufender Aktualisierung)_x000D_
* Anbindung an ein leistungsfähiges Cloudservice, welches im Hintergrund sowohl die POI-Verzeichnisstruktur als auch die POIs aktuell hält. Dieser Cloudservice ist ferner in der Lage, POIs aus unterschiedlichen Datenquellen zu importieren._x000D_
* Zentral gewartetes und kategorisiertes POI-Verzeichns, welches im Kontext des aktuellen Standortes mittels der POIRadar-App durchsucht werden kann._x000D_
* Möglichkeit POIs direkt am mobilen Gerät zu speichern bzw. POIs zu teilen(E-Mail, Soziale Netzwerke, SMS, etc.)_x000D_
* Native App, um die volle Leistungsfähigkeit der jeweiligen mobilen Plattform ohne Einschränkungen und Zwischenschichten nutzen zu können._x000D_
</t>
  </si>
  <si>
    <t>2024-06-11 06:14:40.173128</t>
  </si>
  <si>
    <t>["038920bb-8c40-4a30-8d0c-0a29bcd64751", "ff1480b5-61f2-4008-aada-387c2c490549", "02eb8854-42a2-44cc-b8f1-abd5cfbd00c9"]</t>
  </si>
  <si>
    <t>ace85cf3-641e-4250-a361-0077249becbd</t>
  </si>
  <si>
    <t>up-down-vienna</t>
  </si>
  <si>
    <t>Up Down Vienna</t>
  </si>
  <si>
    <t>Gemeinsam mit [BIZEPS – Zentrum für Selbstbestimmtes Leben](http://www.bizeps.or.at/) – wurde die Web-App „Up Down Vienna“ entwickelt. Ziel der App ist es, eine ortsunabhängige Information über Aufzugsstörungen bzw. Wartungen der Wiener Linien zu bekommen. Besonders Augenmerk wurde bei der Umsetzung auf die mobile Darstellung, einfache Bedienung, die leichte Erfassbarkeit der Inhalte sowie Hilfestellungen durch Icons gelegt. Für mobilitätseingeschränkte Menschen sind diese Informationen besonders im Vorfeld einer Fahrt notwendig, um diese planen zu können._x000D_
_x000D_
Vorteile der webbasierenden Anwendung sind, dass diese unabhängig vom Betriebssystem genutzt werden kann, ohne diese installieren zu müssen._x000D_
_x000D_
﻿_x000D_
_x000D_
Blogpost mit Hintergrundinfos zur Entstehung der Anwendung: &lt;http://ausgetrock.net/de/blog/nico/wiener-linien-create-camp-updownvienna-aufzugsstoerungen&gt;</t>
  </si>
  <si>
    <t>2024-06-11 06:14:40.222003</t>
  </si>
  <si>
    <t>f2be2e94-fa70-4983-9dcf-6ce397a6f395</t>
  </si>
  <si>
    <t>datatank-und-semantifier</t>
  </si>
  <si>
    <t>Datatank und Semantifier</t>
  </si>
  <si>
    <t>Der DataTank ist ein Open Source Projekt der belgischen Non-Profit-Organisation iRail und einer [Forschungsgruppe der Universität Gent](http://multimedialab.elis.ugent.be/about)._x000D_
_x000D_
Der DataTank fungiert als Adapter zwischen Datensätzen eines Open Data Portals, wie z.B. von OGD Wien, und Entwicklerinnen und Entwicklern, die die Daten verwenden. Die Daten verbleiben dabei an der Originalquelle und werden mittels einer Schnittstelle (RESTful-API) in verschiedenen Formaten angeboten. Dadurch sind die Daten immer aktuell und die Nutzung der Daten kann nachvollzogen werden._x000D_
_x000D_
Über die grafische Webapplikation Semantifier ist es weiters möglich, Datensätze semantisch anzureichern und das Modell eines Datensatzes als Ontologie zu beschreiben. Diese Ontologien können dann mit anderen im Web verfügbaren Ontologien abgeglichen werden, sodass die Datensätze mit verwandten Beständen vergleichbar werden._x000D_
_x000D_
Der DataTank erzeugt somit eindeutige URI's für jedes einzelne Objekt eines Datensatzes mit seinen Beschreibungen und eine RDF Repräsentation der Daten (als N3, RDF/XML, N-Triple und Talis RDF/JSON)._x000D_
### Link_x000D_
_x000D_
_x000D_
[The DataTank - Demoinstanz mit Daten von OGD Wien](http://thedatatank.com/)_x000D_
[The Semantifier (Demo)](http://datatank.demo.ibbt.be/The-Semantifier)_x000D_
### Kontakt_x000D_
_x000D_
_x000D_
[Miel Vander Sande - MultimediaLab](mailto:miel.vandersande@ugent.be)_x000D_
[Pieter Colpaert - iRail NPO](mailto:pieter@irail.be)_x000D_
[Davy Van Deursen - MultimediaLab](mailto:davy.vandeursen@ugent.be)_x000D_
[Erik Mannens - MultimediaLab](mailto:erik.mannens@ugent.be)_x000D_
[Rik Van de Walle - MultimediaLab](mailto:rik.vandewalle@ugent.be)</t>
  </si>
  <si>
    <t>2024-06-11 06:14:40.255229</t>
  </si>
  <si>
    <t>997fe719-6d22-45a2-9c9e-06ac43201e17</t>
  </si>
  <si>
    <t>prediodata</t>
  </si>
  <si>
    <t>Prediodata</t>
  </si>
  <si>
    <t>Das Grundstücksinformationssystem für Gemeinden_x000D_
_x000D_
Jeder der schon einmal mit einer Grundstückssuche, dem Kauf eines Grundstücks oder dem Hausbau beschäftigt war kommt mit dem Thema der Datenrecherche zu seinem Grundstück in Kontakt._x000D_
_x000D_
Für die Anschaffung eines Grundstücks oder der Vorab-Recherche beim Hausbau werden eine Vielzahl von Daten benötigt, die derzeit alle manuell und teilweise von verschiedenen Quellen beschafft werden müssen._x000D_
_x000D_
Dieser Prozess ist derzeit sehr zeitaufwändig. Viele Bürgerinnen und Bürger wissen außerdem oftmals nicht welche Daten Sie benötigen, wo sie sich diese beschaffen können geschweige denn ob sie diesen vertrauen können._x000D_
_x000D_
Die Firma prediodata hat sich nun diesem Problem angenommen und mit  Hilfe der Landeshauptstadt Freistadt Eisenstadt, ein Online Projekt entwickelt, welches sich zum Ziel gesetzt, hat die Beschaffung dieser Daten zu vereinfachen._x000D_
_x000D_
Über die [prediodata.at](https://web.archive.org/web/20180813222226/http://www.prediodata.at/) WEB Applikation, können alle Grundstücke über eine Online Kartenapplikation aufgerufen und angezeigt werden._x000D_
_x000D_
Darin können in Zukunft, für jedes einzelne Grundstück, alle relevanten Daten, auf Knopfdruck abgerufen werden._x000D_
_x000D_
Diese Daten werden danach digital in einem individuellen Report zum Download zur Verfügung gestellt.</t>
  </si>
  <si>
    <t>2024-06-11 06:14:40.289016</t>
  </si>
  <si>
    <t>0aedeed6-a8bb-4a8d-87e2-541d0e54c971</t>
  </si>
  <si>
    <t>inside-cities-vr-urban-analysis</t>
  </si>
  <si>
    <t>Inside Cities - VR Urban Analysis</t>
  </si>
  <si>
    <t xml:space="preserve">Inside Cities ist ein VR-Tool für immersive städtebauliche Analysen. Durch die Nutzung von Daten aus Open Government Data und OpenStreetMap automatisiert das Tool die Sammlung, Verarbeitung und Darstellung von städtebaulichen Daten. _x000D_
_x000D_
Indem es eine visuelle räumliche Darstellung städtischer Umgebungen und Daten bietet, vereinfacht es den Zugang zu essenziellen Informationen für Architekten, Stadtplaner und die Öffentlichkeit und macht komplexe urbane Informationen verständlich. </t>
  </si>
  <si>
    <t>2024-06-11 06:14:53.240299</t>
  </si>
  <si>
    <t>3d99a4f9-d872-48d5-8971-66f261a8bb48</t>
  </si>
  <si>
    <t>2024-04-30 14:36:54.735298</t>
  </si>
  <si>
    <t>["86d88cae-ad97-4476-bae5-73488a12776d", "c1ba372b-dba2-4bce-b72e-b5c832eaaf44", "1ea3d3e8-fa07-4c37-af68-eb588d439de2", "0adc90c9-ac6b-47ef-aa83-b7780594720c", "a73c5b74-a9c9-4caa-a796-e4c832645614", "298e6b5a-21a8-4d56-9484-1bac58c94a26", "9586a616-48e4-46c8-b418-1432f2515407"]</t>
  </si>
  <si>
    <t>6bda7663-12a4-48d1-adba-c94b2f2187b4</t>
  </si>
  <si>
    <t>rtr-netztest-app</t>
  </si>
  <si>
    <t>RTR Netztest</t>
  </si>
  <si>
    <t xml:space="preserve">Der RTR-Netztest bietet Nutzerinnen und Nutzern die Möglichkeit, ihre Internetverbindung ausführlich und zuverlässig zu überprüfen und Informationen rund um dieses Thema zu beziehen._x000D_
_x000D_
Ziel ist es, umfassend zu informieren. Der RTR-Netztest bietet u.a.:_x000D_
* eine Möglichkeit, die Ergebnisse verschiedener Endgeräte zu synchronisieren und im Browser darzustellen_x000D_
* die Option, Tests automatisch zu wiederholen (Wiederholungsmodus)_x000D_
* die Möglichkeit eine zertifizierte Messung durchzuführen_x000D_
* einen Abruf der eigenen Test-History_x000D_
* eine Kartenansicht der Testergebnisse mit Filtermöglichkeit nach Messparameter, Statistik, Internet-Anbieter, Zeitraum und Endgerät_x000D_
* Statistiken zu den Ergebnissen der Internet-Anbieter und aller verwendeten Endgeräte/Browser mit Filtermöglichkeit nach Quantil, Messparameter und Messzeitraum_x000D_
* eine Ampelbewertung des Messergebnisses_x000D_
* Unterstützung von 2G (EDGE)-, 3G (UMTS, HSPA)-, 4G (LTE)- und 5G (NR)-Verbindungen; sowohl für IPv4 als auch IPv6_x000D_
* die Bereitstellung der Messdaten gemäß Open-Data-Prinzip_x000D_
* die Bereitstellung des Source-Codes gemäß Open-Source-Prinzip_x000D_
* ausführliche FAQ_x000D_
</t>
  </si>
  <si>
    <t>2024-06-11 06:14:41.761477</t>
  </si>
  <si>
    <t>["13a9f9d7-f013-4b12-a990-387714039247", "2c54f4d6-5712-4e5a-a025-b7f7a396c39b", "566c99be-b436-365e-af4f-27be6c536358", "5c74388f-200b-3deb-9043-eeb1e7d7b53a", "3fefc838-791d-4dde-975b-a4131a54e7c5"]</t>
  </si>
  <si>
    <t>7b193453-168d-4780-919f-a0f5abee5e40</t>
  </si>
  <si>
    <t>verkehrsinformationen-niederosterreich-wien</t>
  </si>
  <si>
    <t>Verkehrsinformationen Niederösterreich / Wien</t>
  </si>
  <si>
    <t>Die basemap.at Karte wird für das interne VKS Message System und Online auf der Live Verkehrskarte verwendet.</t>
  </si>
  <si>
    <t>2024-06-11 06:14:53.206215</t>
  </si>
  <si>
    <t>2024-04-30 15:28:19.391288</t>
  </si>
  <si>
    <t>b9cc46c2-7e73-4784-b2fe-c31ebed7eb60</t>
  </si>
  <si>
    <t>lebendige-stadtteilkarte-neu-leopoldau</t>
  </si>
  <si>
    <t>Lebendige Stadtteilkarte Neu Leopoldau</t>
  </si>
  <si>
    <t>Was bedeutet „Lebendige Stadtteilkarte“?_x000D_
_x000D_
Auf der Karte sind zahlreiche Informationen eingezeichnet. Die Kategorien Mobilität, Freizeit, Bildung und Gut versorgt beinhalten Informationen für das Alltagsleben in Neu Leopoldau und den angrenzenden Bezirksteilen. Die Datengrundlage dafür bilden die offenen Datensätze der Stadt Wien (sh. Open Data Österreich) und  Erhebungen des GB\*Stadttteilmanagements vor Ort. Mit diesen Informationen in der Stadtteilkarte entsteht rasch ein guter Überblick über die Angebote in Neu Leopoldau und der Umgebung._x000D_
_x000D_
In den Kategorien Neues aus der Nachbarschaft, Bau Aktuell, Wissenswertes, Entdeckungen und Tipps finden sich ausführlichere Beiträge. Hier informieren das GB\*Stadtteilmanagement wie auch BewohnerInnen über Neuigkeiten von der Baustelle, spannende Veranstaltungen oder Aktivitäten in der Nachbarschaft. Hier finden Sie Informationen über die Geschichte des Gaswerks, die lokale Flora und Fauna oder über Ideen aus der Konzeption des Stadtteils._x000D_
_x000D_
Mit der Veröffentlichung von neuen Karteneinträgen und durch die Erzählperspektive von vier fiktiven Figuren, wird die Stadtteilkarte lebendig. Registrierte BenutzerInnen können Kommentare abgeben, eigene Tipps verfassen, Fotos hochladen und diese auf der Karte eintragen. Gefällt ein Beitrag oder Kommentar, kann dafür ein „Herz“ vergeben werden. So wird die Lebendige Stadtteilkarte zu einem wichtigen Wegweiser für das Leben und Zusammenwachsen in Neu Leopoldau.</t>
  </si>
  <si>
    <t>2024-06-11 06:14:42.990797</t>
  </si>
  <si>
    <t>["36a8b9e9-909e-4605-a7ba-686ee3e1b8bf", "f1f6f15d-2faa-4b62-b78b-80599dd1c66e", "627a9226-a907-4018-89e3-878002a9d22b", "97ef14eb-f280-48a7-96c0-df03859b06c2", "5e6175cd-dc44-4b32-a64a-1ac4239a6e4a", "28a7419c-f432-4e1a-b0a6-aa9e71968a14", "22add642-d849-48ff-9913-8c7ba2d99b46", "cabad01a-8cc7-48c0-b7e8-ffbe1e685b26", "bd8b518b-d812-46f9-b367-4c1b660cfc99", "898afe8c-0297-45d6-b4b5-0cb9e632094b", "71084c02-973d-4544-b804-7ed82bd53027", "2adc5a86-faa3-4b63-acff-a66128b811b7", "87f121a7-eef0-4be9-9372-a5efe5b4d375", "c1ba372b-dba2-4bce-b72e-b5c832eaaf44", "2c54f4d6-5712-4e5a-a025-b7f7a396c39b"]</t>
  </si>
  <si>
    <t>93e654a2-8748-4f29-8483-ab37a1322255</t>
  </si>
  <si>
    <t>erich-neuwirths-covid-19-analysen</t>
  </si>
  <si>
    <t>Erich Neuwirths COVID-19-Analysen</t>
  </si>
  <si>
    <t xml:space="preserve">Verschiedene vor allem grafische Auswertungen zu nationalen und internationalen Daten über COViD-19. Abrufbar unter [http://www.covidanalysen.at](http://www.covidanalysen.at/)_x000D_
* Basisdaten_x000D_
* Ampelkarten_x000D_
* Ampelkartenanimation_x000D_
	+ Münchner Regelung zu Alkohol_x000D_
* Österreich - Vergleich Bundesländer_x000D_
	+ Registrierte Infektionen_x000D_
		- Registrierte Infektionen pro 100.000_x000D_
	+ Registrierte Neuinfektionen in Österreich_x000D_
		- Neuinfektionen pro 100.000_x000D_
		- Neuinfektionen nach Altersgruppen_x000D_
	+ Aktive Fälle_x000D_
	+ Flatten the Curve_x000D_
	+ Hospitalisierungen, Intensivpatienten und Todesfälle_x000D_
		- Bundesländerweise_x000D_
	+ Neuinfektionen und Hospitalisierte pro 100.000_x000D_
		- Neuinfektionen und Todesfälle_x000D_
		- Todesfälle pro Woche_x000D_
		- Todesfälle pro Woche bundesländerweise_x000D_
	+ Durchgeführte Tests_x000D_
	+ Tägliche Tests_x000D_
	+ Anteil positiver Tests_x000D_
		- Tests pro 100.000 und Anteil positiver Tests_x000D_
</t>
  </si>
  <si>
    <t>2024-06-11 06:14:44.242979</t>
  </si>
  <si>
    <t>["3765ed62-0f9d-49ad-83b0-1405ed833108", "2f6649b6-2b2d-49a9-ab31-6c7e43728001", "ef8e980b-9644-45d8-b0e9-c6aaf0eff0c0", "4b71eb3d-7d55-4967-b80d-91a3f220b60c", "846448a5-a26e-4297-ac08-ad7040af20f1"]</t>
  </si>
  <si>
    <t>7dba082e-96e0-4816-8d85-964b27777446</t>
  </si>
  <si>
    <t>ihs-economic-high-frequency-monitor</t>
  </si>
  <si>
    <t>IHS Economic High Frequency Monitor</t>
  </si>
  <si>
    <t>Das zeitnahe Vorliegen von Indikatoren zur Einschätzung der aktuellen wirtschaftlichen Lage, ist für eine vorausschauende, rasche und angemessene Reaktion der Wirtschaftspolitik unabdingbar. Insbesondere dann, wenn sich die Situation so schnell und so fundamental verändert wie zur Zeit des COVID-19-Shutdowns, Mitte März 2020. Während Finanzmarktindikatoren zeitnahe die Entwicklung einpreisten, dauerte es bis sich der Wirtschaftseinbruch auch in den realwirtschaftlichen Daten und wirtschaftlichen Frühindikatoren niederschlug und sich so die Schwere der wirtschaftlichen Krise erahnen ließ._x000D_
_x000D_
Das Ziel des Monitors ist es daher eine äußerst zeitnahe und aussagekräftige Informationsbasis zu schaffen, die eine rasche Einschätzung der aktuellen wirtschaftlichen Lage ermöglicht:_x000D_
_x000D_
1. Zeitnahe, da immer dienstags (oder mittwochs) die Zeitreihen um die Werte der Vorwoche ergänzt werden und 2. Aussagekräftig, da die Zeitreihen um mögliche Störfaktoren wie saisonale Einflüsse, bewegliche Feiertage (Ostern), Temperaturschwankungen oder andere Sondereffekte bereinigt werden, um das relevante ökonomische Signal zu schärfen.</t>
  </si>
  <si>
    <t>2024-06-11 06:14:44.605601</t>
  </si>
  <si>
    <t>["aee4c9b5-8c7f-4248-b909-3335d93ac08a", "ad122534-f82a-438b-835e-d1fb1341bff7"]</t>
  </si>
  <si>
    <t>f8097a9b-2cca-441e-a13a-273209fbdadd</t>
  </si>
  <si>
    <t>coronavirus-covid-19-faelle-in-oesterreich</t>
  </si>
  <si>
    <t>Coronavirus COVID-19 Fälle in Österreich</t>
  </si>
  <si>
    <t>Das Corona-Virus bewegt die Welt. Auch die Medienlandschaft wird von diesem Thema dominiert. Nahezu minütlich werden aktuelle Informationen zu Corona-Lage in Livetickern ausgegeben. Aber was fehlt, sind aktuelle Datenvisualisierungen zu den Erkrankungsfällen._x000D_
_x000D_
Es existieren zwar Datenapplikationen, wie zum Beispiel die Darstellungen der WHO, diese haben aber die globale Verteilung im Blickfeld. Statische, schon oft zum Zeitpunkt der Veröffentlichung nicht mehr aktuelle Infografiken, können der sich rasch ändernden Lage nicht gerecht werden. Das Virus ist in Europa angekommen, jetzt sind Visualisierungen, die die  einzelnen Staaten im Blickfeld haben, gefragt und das so aktuell wie möglich._x000D_
_x000D_
Unser entwickeltes Daten-Dashboard gibt die aktuelle Verbreitung auf Bundesländer- und Bezirksbasis in Karten, Diagrammen und Listen wieder. Wir versuchen die Darstellungen so aktuell wie möglich zu halten und recherchieren aktuelle Daten von der Website des Sozialministeriums, per data.gv.at oder suchen in österreichischen Nachrichtenportalen.</t>
  </si>
  <si>
    <t>2024-06-11 06:14:45.49779</t>
  </si>
  <si>
    <t>c3df5a27-ec37-45ac-93f5-6d0b7bee198c</t>
  </si>
  <si>
    <t>corin-at-coronainfo-austria</t>
  </si>
  <si>
    <t>CorIn.at - CoronaInfo-Austria</t>
  </si>
  <si>
    <t>CorIn.at ist eine Webanwendung, die Daten über die COVID-19 Infektion protokolliert. Die Daten werden in einer Blockchain gespeichert und sind daher unveränderbar (können nicht geändert oder gelöscht werden), sicher (redundant dezentral gespeichert) und transparent (jede/r hat die selbe Sicht auf alle Daten, kann alle Daten abfragen). Zusätzlich wird eine Zeitreihenauswertung von jenen Daten ermöglicht, die periodisch aktualisiert und dabei (z.B. auf der Quellseite) überschrieben werden._x000D_
_x000D_
Die Daten können auf mehrere Arten angezeigt, abgefragt und optional weiterverarbeitet werden. Mehrere Anwendungen und Portale nutzen die von CorIn.at aufbereiteten Daten._x000D_
_x000D_
CorIn.at trägt somit zur Erhöhung der Transparenz durch Verbesserung des Zugriffes auf Informationen für BürgerInnen bei.</t>
  </si>
  <si>
    <t>2024-06-11 06:14:45.601933</t>
  </si>
  <si>
    <t>54ac427d-fb9e-43c7-a358-097165c50867</t>
  </si>
  <si>
    <t>corona-ampel</t>
  </si>
  <si>
    <t>Corona Ampel des Complexity Science Hub Vienna</t>
  </si>
  <si>
    <t>**Wichtiger Hinweis:** Infos zur offiziellen Corona Ampel des BMSGPK inklusive der zugehörigen offenen Datensätzen finden Sie unter &lt;https://www.data.gv.at/2020/09/04/corona-ampel-risiko-warnstufen-system-auch-als-open-data-verfuegbar/&gt; - die nachfolgende Anwendung ist eine Drittanwendung basierend auf dem Datensatz [COVID-19: Anzahl der Fälle je Bezirk (BMSGPK)](https://www.data.gv.at/katalog/dataset/54f6cbd7-ed43-4036-a084-2990abf9da0c "Datensatz anzeigen") und steht nicht im direkten Zusammenhang mit der offiziellen Corona Ampel des BMSGPK, welche unter &lt;https://corona-ampel.gv.at/&gt; abrufbar ist._x000D_
_x000D_
_x000D_
_x000D_
---_x000D_
_x000D_
_x000D_
_x000D_
Die Corona Ampel des Complexity Science Hub Vienna gibt auf Bezirksebene eine Übersicht über die Anzahl der Neuinfektionen (positiv getestete Personen) innerhalb der letzten zwei Wochen. Bezirke werden dabei nach einem Ampel-System eingefärbt: Grün, wenn es in den letzten zwei Wochen weniger als 1 neuen Fall pro 10.000 Einwohnern gegeben hat, Gelb (weniger als 10 Fälle), Rot (10 oder mehr Fälle). Die historische Entwicklung der Fallzahlen lässt sich interaktiv explorieren und kann für jeden Bezirk überblicksmäßig an einer Kurve abgelesen werden._x000D_
_x000D_
Achtung: der unten abgebildete Screenshot stellt nicht die aktuelle Lage dar, rufen Sie für aktuelle Daten bitte den "Link zur Anwendung" auf!</t>
  </si>
  <si>
    <t>2024-06-11 06:14:45.633444</t>
  </si>
  <si>
    <t>13cc3b30-f836-492b-bd18-43550dfa1edc</t>
  </si>
  <si>
    <t>thanados</t>
  </si>
  <si>
    <t>THANADOS - The Anthropological and Archaeological Database of Sepultures</t>
  </si>
  <si>
    <t>The Anthropological and Archaeological Database of Sepultures_x000D_
Archäologisches und Anthropologisches Portal zu mittelalterlichen Grabfunden in Österreich_x000D_
Aus dem Gebiet des heutigen Österreichs kennt man mehrere hundert Gräberfelder und Friedhöfe aus dem Frühmittelalter (ca. 600 bis 1100 n. Chr.), die archäologisch bzw. anthropologisch erforscht und veröffentlicht sind. Die ersten wurden bereits vor über 150 Jahren ausgegraben und die Methoden der Dokumentation, die Analysen wie auch die Präsentation der Daten und der Ergebnisse haben sich seitdem ständig weiterentwickelt._x000D_
Das am Naturhistorischen Museum Wien und dem Österreichischen Archäologischen Institut der ÖAW angesiedelte THANADOS-Projekt stellt ein Online Repositorium der frühmittelalterlichen Grabfunde Österreichs zur Verfügung._x000D_
Eine interaktive Webanwendung für die Präsentation der Daten wird vom THANADOS-Team in Kooperation mit Spezialist/innen vom ACDH der ÖAW entwickelt. Diese mit jedem modernen Browser erreichbare Webanwendung erlaubt Nutzer/innen das Erkunden der Daten, gezielte Suchen, Visualisierungen sowie den Download einerseits der Rohdaten, andererseits von spezialisierten Abfrageergebnissen in gängigen Formaten. Eine kartografische und eine datenzentrierte Oberfläche ergänzen sich dabei nahtlos.</t>
  </si>
  <si>
    <t>2024-06-11 06:14:45.993906</t>
  </si>
  <si>
    <t>["37c4a13b-0026-4876-9f96-d41d6c870b67", "2c54f4d6-5712-4e5a-a025-b7f7a396c39b"]</t>
  </si>
  <si>
    <t>9c3653ec-e480-4628-b9c5-8e778e200bac</t>
  </si>
  <si>
    <t>scriptable-vaccination-stats-widget</t>
  </si>
  <si>
    <t>Scriptable Vaccination Stats Widget</t>
  </si>
  <si>
    <t>Ein Widget für iOS für den Homescreen, das den aktuellen Fortschritt der Corona-Schutzimpfung sowie das voraussichtliche Datum berechnet, ab dem eine Herdenimmunität gegeben ist (wenn 70% der Bevölkerung geimpft wurden)._x000D_
Dieses Widget wird mit der iOS App "Scriptable" umgesetzt._x000D_
_x000D_
Anleitung zum Hinzufügen zum Homescreen:_x000D_
1. Gesamten [Sourcecode](https://gist.github.com/schl3ck/570422d5f6ce4595c05fca951da067e5) kopieren (oberhalb von "Bitte ab hier kopieren" bis unterhalb von "Bitte bis hier kopieren")_x000D_
2. In [Scriptable App](https://apps.apple.com/us/app/scriptable/id1405459188) (erhältlich im iOS AppStore) ein neues Skript anlegen_x000D_
3. Kopierten Code einfügen_x000D_
4. Dem Script einen passenden Namen geben (wird später benötigt)_x000D_
5. Am Homescreen ein neues Widget von Scriptable hinzufügen_x000D_
	1. Lange auf einer leeren Stelle gedrückt halten bis die Apps wackeln_x000D_
	2. Rechts oben im Eck auf das "+" tippen_x000D_
	3. Scriptable auswählen_x000D_
	4. Kleines Widget wählen_x000D_
	5. Den "Wackel-Modus" mit Tippen auf eine leere Stelle oder auf den Homebutton beenden_x000D_
_x000D_
_x000D_
6. Auf das hinzugefügte Scriptable-Widget tippen und halten, dann *"Scriptable" bearbeiten* auswählen_x000D_
7. Eintrag bei "Script" bearbeiten und das Script mit dem vorhin vergebenen Namen auswählen_x000D_
8. Diesen Bearbeitungsmodus beenden. Das Skript aktualisiert sich immer wieder von selbst._x000D_
_x000D_
_x000D_
 </t>
  </si>
  <si>
    <t>2024-06-11 06:14:46.252602</t>
  </si>
  <si>
    <t>["7effe370-ce79-4286-b299-c5d851f546ff", "734a5746-bbda-4fc0-8eb3-52c6325ceb88"]</t>
  </si>
  <si>
    <t>170c2018-83e7-4809-9d0f-f25cca28cb93</t>
  </si>
  <si>
    <t>wien-pois</t>
  </si>
  <si>
    <t>Wien POIs</t>
  </si>
  <si>
    <t xml:space="preserve">Du bist in Wien unterwegs und suchst nach einer Badestelle? Du musst dringend aufs "Stille Örtchen"? Du suchst einen Spielplatz für deine Kinder? Oder suchst du nach der nächstgelegensten Polizeidienststelle?_x000D_
Dann ist dieses App genau das, was du suchst!_x000D_
_x000D_
Wien POIs bietet dir 39 verschiedene Kategorien (insgesamt fast 20.000 POIs), darunter Badestellen, Campingplätze, Schulen, Kindergärten, Krankenhäuser. WC-Anlagen und viele mehr._x000D_
_x000D_
Du kannst dir die Points of Interest (POI) auf einer Karte anzeigen lassen, auf einer Liste (sortiert nach Entfernung zu deiner Position), oder per Augmented Reality. Bei Augmented Reality wird die Kamera deines Geräts verwendet, um in das aufgenommene Bild, die POIs einzublenden._x000D_
_x000D_
FEATURES_x000D_
* 39 verschiedene Kategorien an POIs (insgesamt fast 20.000)_x000D_
* Karten-, Listenansicht und Augmented Reality_x000D_
* Clustering (zusammenfassen) der POIs um die Übersichtlichkeit zu verbessern_x000D_
* Detailansicht für jede POI_x000D_
* Diverse Detailinformationen wie Telefonnummer, Adresse, Öffnungszeiten, etc. (abhängig von der jeweiligen Kategorie)_x000D_
* Teilen der POI per Email, SMS und Twitter_x000D_
</t>
  </si>
  <si>
    <t>2024-06-11 06:14:46.494842</t>
  </si>
  <si>
    <t>["770f9237-9a7f-45e4-9647-aacf35ddee06", "826d798e-01d1-48d3-973c-e0e466a63ca8", "455cf48c-cdee-4721-a0ed-cd38af7aff0f", "21fca925-12ac-4215-ba1a-a9c73cb3b082", "97ef14eb-f280-48a7-96c0-df03859b06c2", "523ba2e4-8c55-4dde-8acf-39e3621811b0", "4315e096-f51e-4b56-8235-57be9789a62c", "aac2629e-495d-4468-9c8b-cd9649bd7b5d", "47c7ffa9-65ba-41d1-9461-4e5458afd62e", "d2c6f6f5-2236-4217-8361-3297b6369979", "54fc7750-8540-4c22-8d46-9a6a2641c41a", "98908792-f315-4834-9b5e-20fed66cbe5a", "8d482810-26da-4bbc-8599-6b1fd1ab8743", "e7065317-1d57-434a-8428-efa263ecc526", "c7e84d16-449e-4154-a1bd-603b4fae329e", "146384fc-3f64-4482-a78a-2f082411a27d", "298e6b5a-21a8-4d56-9484-1bac58c94a26", "5f8ecd04-6e84-4ed7-b4d6-3632c5d2b8f4", "7035def0-a9df-430a-99ee-6e13de12676c", "d9321ccf-d303-4cfb-a24b-32aba49cef81", "6f412521-2e9b-44b1-a3e4-8f1358caef63", "a42cbe4f-89f0-42ae-a34d-f2e5db6aa1d2", "2ed52078-7e55-40ea-8036-0d89118a06f4", "ff1480b5-61f2-4008-aada-387c2c490549", "5d642d09-8e03-4200-a79b-2a397a6d5d51", "96196887-5a20-4e93-a302-72f306f32c9d", "7fcf7f09-12d7-4b06-a183-93c51f940670", "bd8b518b-d812-46f9-b367-4c1b660cfc99", "898afe8c-0297-45d6-b4b5-0cb9e632094b", "de64ade8-5025-40f9-a2e0-15b72797e6a7", "7c6e9dbf-487b-4146-a379-19e46642c392", "716d89ce-b0da-4158-abb6-72f562206b37", "3e62e13e-3955-494a-91b3-f00ab9e84b48", "c1ba372b-dba2-4bce-b72e-b5c832eaaf44", "fc725989-5c3e-4bf4-89b1-68caeec4d858", "87f121a7-eef0-4be9-9372-a5efe5b4d375", "2adc5a86-faa3-4b63-acff-a66128b811b7"]</t>
  </si>
  <si>
    <t>e16f6e6c-cf91-4279-a51c-0eaadb8858c4</t>
  </si>
  <si>
    <t>covidlux</t>
  </si>
  <si>
    <t>CovidLux</t>
  </si>
  <si>
    <t>CovidLux ist eine Web-Applikation für Smartphones, Tablets und PC mit Informationen zum Coronavirus. Basierend auf dem von der österreichischen Regierung verwendeten Ampelsystem wurde eine Plattform entwickelt, mit der man sich schnell und einfach informieren kann._x000D_
_x000D_
Die Web-Applikation „CovidLux“ sammelt automatisiert offizielle epidemiologische Daten über Österreich. Diese Daten werden in Informationsvisualisierungen eingebettet und sollen Nutzer\*innen eine anschauliche Übersicht über die aktuellen Zahlen bieten._x000D_
_x000D_
Darüber hinaus gibt es eine eingebaute Standort-Funktion. Damit können User\*innen stets über die aktuelle Ampelfarbe benachrichtigt werden, abhängig von deren aktuellem Standort._x000D_
_x000D_
Die Intention für das Projekt war es, Menschen in Österreich alle relevanten Daten über das Coronavirus in übersichtlichen Visualisierungen und auf einer einzigen Plattform zur Verfügung zu stellen. Hohe Benutzerfreundlichkeit und ein ansprechendes Design waren seit dem ersten Tag die oberste Prämisse._x000D_
_x000D_
Die österreichische Bevölkerung ist ständig mit unzähligen Informationsquellen und irreführenden Schlagzeilen konfrontiert – dieses Problem soll gelöst werden. Infolgedessen soll CovidLux allen User\*innen Angst und Unsicherheit nehmen und somit mehr Klarheit über die aktuelle Situation schaffen._x000D_
_x000D_
Info: Da die verwendeten Datensätze im Moment (Stand 6.4.2021) online nicht aktualisiert werden, werden einige Darstellungen der App nicht oder nicht richtig angezeigt!</t>
  </si>
  <si>
    <t>2024-06-11 06:14:47.342198</t>
  </si>
  <si>
    <t>["52abfc2b-031c-4875-b838-653abbfccf4e", "846448a5-a26e-4297-ac08-ad7040af20f1", "2f6649b6-2b2d-49a9-ab31-6c7e43728001", "4b71eb3d-7d55-4967-b80d-91a3f220b60c", "ef8e980b-9644-45d8-b0e9-c6aaf0eff0c0"]</t>
  </si>
  <si>
    <t>96ac85b2-39ad-4802-be5e-a36a442a109c</t>
  </si>
  <si>
    <t>checkmyplace-com</t>
  </si>
  <si>
    <t>Checkmyplace.com</t>
  </si>
  <si>
    <t xml:space="preserve">[Checkmyplace.com](http://www.checkmyplace.com) sagt Ihnen, ob eine Immobilie und deren Lage zu Ihnen passen._x000D_
_x000D_
Etwa 100.000 Personen sind österreichweit jeden Monat auf Immobiliensuche. Mehrheitlich handelt es sich dabei um Laien. [Checkmyplace.com](http://www.checkmyplace.com) versetzt Mieter und Käufer in die Lage, Wert und Lage einer Immobilie fundiert zu beurteilen: Ohne eigenes Fachwissen, ohne eigene Ortskenntnis und live, am Computer zu Hause/ im Büro und auf mobilen Endgeräten vor Ort. _x000D_
_x000D_
[Checkmyplace.com](http://www.checkmyplace.com) bietet einen strukturierten Fragebogen, der bei der Besichtigung einer Immobilie unterstützt: Die persönlichen Wünsche und tatsächlichen Eigenschaften (Mikro-/ Makrolage) einer Immobilie werden verglichen. _x000D_
_x000D_
Hunderte Umgebungsfaktoren wie Demografie, Infrastruktur, Verkehr, Klima, Lärm und Luft, Einkommensverteilung in der Nachbarschaft sowie monetäre Vergleichswerte (Preisspiegel für Mieter und Käufer) u.v.m. werden in einer umfangreichen, fachlich aussagekräftigen und leicht lesbaren Immobilien-/ Standortbewertung zusammen- und live bereit gestellt. _x000D_
[Checkmyplace.com](http://www.checkmyplace.com) akkumuliert und analysiert dafür individuelle Informationen sowie verfügbare, bisher unverknüpfte Informationen (Open Data, Open Government Data und Closed Data) sowie die Weisheit der Vielen (Crowdsourcing Data). _x000D_
_x000D_
Darüber hinaus stellt [Checkmyplace.com](http://www.checkmyplace.com) maßgeschneiderte B2B-Lösungen für den gewerblichen Einsatz und professionelle Anwender wie Makler, Bauträger oder Sachverständige zur Verfügung. _x000D_
_x000D_
Live. Online. Mobil. _x000D_
</t>
  </si>
  <si>
    <t>2024-06-11 06:14:47.516092</t>
  </si>
  <si>
    <t>58b89253-d767-4ef0-9ec4-26403875503d</t>
  </si>
  <si>
    <t>ced-atlas-darmplus</t>
  </si>
  <si>
    <t>CED-ATLAS Darmplus</t>
  </si>
  <si>
    <t>Der CED-ATLAS steht Ärzten und Patienten zur Verfügung und bietet einen Überblick über alle österreichweit verfügbaren CED-Ansprechpartner._x000D_
_x000D_
CED steht für Chronisch Entzündliche Darmerkrankungen._x000D_
_x000D_
Gründe für Darm Plus – CED-Initiative Österreich!_x000D_
_x000D_
Patienten mit chronisch entzündlichen Darmerkrankungen (CED) wie Morbus Crohn oder Colitis Ulcerosa verbringen viel Zeit mit dem Management ihrer als unheilbar geltenden Erkrankung. Vom ersten Symptom bis zur Diagnose und Einleitung einer Behandlung vergehen oft mehr als drei Jahre. Dabei könnten mit den verfügbaren Therapien Schmerzen, schlechte Lebensqualität, Krankenstand, Operationen und bleibende Schäden am Darm reduziert oder vermieden werden. Es bedarf eines weitreichenden Aufklärungsprozesses, um ein stärkeres Bewusstsein für Darmgesundheit zu schaffen. Denn trotz weiter Verbreitung verbinden nur wenige etwas mit dem Begriff CED und sind sich damit auch der schlechten Vers-orgung und täglichen Probleme der Betroffenen dieser chronisch voranschreitenden Krankheit nicht bewusst. CED bedarf einer gemeinsamen, interdisziplinären gesundheits- und sozialpolitischen Anstrengung, um österreichweit eine einheitliche Versorgungs- und Qualitätsstruktur sicherzustellen.</t>
  </si>
  <si>
    <t>2024-06-11 06:14:47.810986</t>
  </si>
  <si>
    <t>["2c54f4d6-5712-4e5a-a025-b7f7a396c39b", "31416a3d-5a44-4f78-8b2c-765a2738aacc"]</t>
  </si>
  <si>
    <t>666ba7e1-c561-47d9-8196-6b5a8a1eec24</t>
  </si>
  <si>
    <t>orbis-city-map</t>
  </si>
  <si>
    <t>Orbis-City-Map</t>
  </si>
  <si>
    <t>Orbis City Map (OCM) bietet für Gemeinden eine Plattform um Ihre Einrichtungen, Sehenswürdigkeiten, Betriebe etc. auf einem digitalen Ortsplan über die Gemeindehomepage zu präsentieren. Außerdem kann zusätzlich eine textliche Beschreibung zu den Karteninhalten abgerufen werden._x000D_
_x000D_
Weiters sind auch Freizeitrouten (Wanderwege, Radwege, MTB-Strecken, Loipen, ...) abrufbar. Zusätzlich kann über ein interaktives Höhenprofil, der Höhenverlauf der Wegstrecke verfolgt werden._x000D_
_x000D_
OCM ist modular aufgebaut und es können auch verschiedene andere Inhalte dargestellt werden._x000D_
_x000D_
Beispiele dafür sind Widmung, freie Bauparzellen, Entwicklungskonzept, historisch interessante Orte etc._x000D_
_x000D_
Als Hintergrundkarten sind verfügbar: Open-Street-Map, Open-Topo-Map, Basemap, Basemap-Orthofoto und optional: Ortsplan  (Arge-Kartographie), Entwicklungskonzept, Franziszeischer Kataster uvm._x000D_
_x000D_
Der Gemeinde steht ein Admin-Tool zur Verwaltung der Inhalte zur Verfügung.</t>
  </si>
  <si>
    <t>2024-06-11 06:14:47.901463</t>
  </si>
  <si>
    <t>fe42f1f3-c1b6-4334-aff5-3198ee527cdd</t>
  </si>
  <si>
    <t>covid-19-study</t>
  </si>
  <si>
    <t>Estimation of exogenous drivers to predict COVID-19 pandemic using a method from nonlinear control theory</t>
  </si>
  <si>
    <t>The currently ongoing COVID-19 pandemic confronts governments and their health systems with great challenges for disease management. Epidemiological models play a crucial role, thereby assisting policymakers to predict the future course of infections and hospitalizations. One difficulty with current models is the existence of exogenous and unmeasurable variables and their significant effect on the infection dynamics. In this paper, we show how a method from nonlinear control theory can complement common compartmental epidemiological models. As a result, one can estimate and predict these exogenous variables requiring the reported infection cases as the only data source. The method allows to investigate how the estimates of exogenous variables are influenced by non-pharmaceutical interventions and how imminent epidemic waves could already be predicted at an early stage. In this way, the concept can serve as an “epidemometer” and guide the optimal timing of interventions. Analyses of the COVID-19 epidemic in various countries demonstrate the feasibility and potential of the proposed approach. The generic character of the method allows for straightforward extension to different epidemiological models.</t>
  </si>
  <si>
    <t>2024-06-11 06:14:48.957164</t>
  </si>
  <si>
    <t>6f9950a7-7c0e-4c71-b01f-bc0b8687b65b</t>
  </si>
  <si>
    <t>stadtwandern-wien</t>
  </si>
  <si>
    <t>Stadtwandern Wien</t>
  </si>
  <si>
    <t>**Finde den passenden Wanderweg für dich**_x000D_
_x000D_
Stadtwandern Wien bietet dir eine übersichtliche Liste aller Wiener Stadtwanderwege mit Vorschaubildern und Streckeninfos zur einfachen Auswahl des passenden Wanderwegs. Fotogalerien zu den einzelnen Wanderwegen unterstützen dich zusätzlich bei der Wahl und geben dir einen Vorgeschmack auf die jeweilige Route._x000D_
_x000D_
**Sieh auf einen Blick, welche Stadtwanderwege du schon gemacht hast**_x000D_
_x000D_
Wanderungen, die du bereits gemacht hast, kannst du auf der jeweiligen Detailseite als solche markieren. Anschließend kannst du die Ansicht auf der Startseite nach gemachten und nicht gemachten Strecken filtern. So siehst du auf einen Blick, welche Wanderungen du bereits geschafft hast und welche Wege es noch zu erobern gilt._x000D_
_x000D_
**Bleib auf dem richtigen Weg**_x000D_
_x000D_
Auf den Detailseiten findest du nützliche Informationen zur Route und eine interaktive Karte mit dem eingezeichneten Wanderweg. Zur leichteren Orientierung kannst du den von dir zurückgelegten Weg aufzeichnen und in Echtzeit auf der Karte mitverfolgen. Solltest du vom Weg abkommen, macht die App dich darauf aufmerksam, dass du dich nicht mehr auf dem ausgewählten Wanderweg befindest._x000D_
_x000D_
**Halte deine Wanderungen fest**_x000D_
_x000D_
Aufgezeichnete Routen werden in deinem Profil automatisch dem richtigen Stadtwanderweg zugeordnet und als gemacht markiert. Unter "Meine Routen" findest du eine übersichtliche Auflistung deiner aufgezeichneten Wanderungen inklusive Aufzeichnungsdatum und Kartenansicht.</t>
  </si>
  <si>
    <t>2024-06-11 06:14:49.288512</t>
  </si>
  <si>
    <t>3eef9b37-8c96-4f45-866a-4e5005c2b7ff</t>
  </si>
  <si>
    <t>covid-19-dashboard-land-tirol</t>
  </si>
  <si>
    <t>COVID-19 Dashboard - Land Tirol</t>
  </si>
  <si>
    <t>Das Land Tirol hat ein eigenes „Zahlen-Dashboard“ veröffentlicht. Darin werden die wichtigsten Zahlen und Grafiken zur aktuellen Coronavirus-Situation in Tirol dargestellt. Die Zahlen werden dabei viermal täglich aktualisiert (08:30 Uhr, 09:30 Uhr, 13:30 Uhr und 18:30 Uhr)._x000D_
_x000D_
Sämtliche dargestellte Zahlen werden aus dem Informationssystem des Landes Tirol bezogen. Somit können auch weiterhin gewisse Unterschiede zu den vom Gesundheitsministerium veröffentlichten Zahlen auftreten. Die Darstellung der Gemeindeergebnisse der derzeit am Coronavirus erkrankten Personen erfolgt auf Basis jener Zahlen, die zum jeweiligen Zeitpunkt eindeutig einer Adresse und Postleitzahl im Bundesland Tirol zugeordnet werden können. In seltenen Fällen ist eine Bezirkszuordnung einer positiv getesteten Person vorab bereits möglich, eine Zuordnung zur Gemeinde zum aktualisierten Zeitpunkt aber noch nicht. So kann es vorkommen, dass zwischenzeitlich Gemeinde- und Bezirksergebnisse zum Zeitpunkt der jeweiligen Aktualisierung nicht vollständig kongruent sind. Es finden aber laufend Überprüfungen der Daten durch die Gesundheitsämter und die Landessanitätsdirektion statt. Derartige kurzfristige Unschärfen werden daher stets schnellstmöglich korrigiert._x000D_
_x000D_
Hinweis: offene statistische Daten des Landes Tirol sind nicht verfügbar._x000D_
_x000D_
Veröffentlichende Organisation: Amt der Tiroler Landesregierung - Landes-Einsatzleitung_x000D_
_x000D_
Die Applikation wurde mit dem ArcGIS Dashboard von Esri umgesetzt._x000D_
_x000D_
 </t>
  </si>
  <si>
    <t>2024-06-11 06:14:49.684541</t>
  </si>
  <si>
    <t>871224fc-330b-4e06-bea0-8daebb5b4b10</t>
  </si>
  <si>
    <t>eo-widget-agriapp-ogd-austria</t>
  </si>
  <si>
    <t>EO-WIDGET AgriApp (OGD Austria)</t>
  </si>
  <si>
    <t>The EO-WIDGET project aimed at developing a robust technological chain linking EO data processed in cloud environments to a web interface that delivers the data and the results towards the end users. The Agri service platform integrates mini-applications providing visualization access to monitoring products and related quality assessments, while at the same time supporting expert judgment and user activities in a GIS environment. One of the key points is that the end-user platform presents real-time-processed EO signals, while the back-end processing can be distributed among several cloud locations and processing chains._x000D_
_x000D_
The Agri service platform is designed with full interoperability in mind, allowing_x000D_
* to consume data products upstream from service providers of choice and_x000D_
* to serve downstream APIs consumed by WebGUI applications like the AgriApp or by data-exchange logic to integrate with the Paying Agency's environment. Monitoring products from multiple sources can be sustained in the platform and analysed there for conformance and quality._x000D_
_x000D_
_x000D_
A monitoring product is the combination of EO signals, vegetation status indexes, spatial indicators and markers derived for a predefined group of declared parcels. The applied decision parameters are combined along the rules defined by the Paying Agencies. The app also offers to “look behind the algorithm”, by which it can become the user interface of fine tuning or setting the acceptance limits of automatized image processing.</t>
  </si>
  <si>
    <t>2024-06-11 06:14:50.305477</t>
  </si>
  <si>
    <t>["fa18db4f-a880-452b-bcbf-e4c0a88cb5d5", "35e36014-ec69-439b-8629-389f52ffaa92", "2c54f4d6-5712-4e5a-a025-b7f7a396c39b"]</t>
  </si>
  <si>
    <t>baee6416-544a-4bfd-9aa3-8b417b39c1b7</t>
  </si>
  <si>
    <t>ris-reader-2</t>
  </si>
  <si>
    <t>RIS Reader</t>
  </si>
  <si>
    <t>RIS Reader bringt das österreichische Rechtsinformationssystem des Bundes (RIS) optimiert auf das iPhone oder iPad. Damit hat man z.B. alle geltenden Gesetze und die Entscheidungen der Höchstgerichte bequem in der Tasche._x000D_
_x000D_
Die Suchmasken, Ergebnislisten und Detailansichten sind auf das iOS-Device zugeschnitten. Entscheidungs- und Gesetzestexte können mit der Safari-Reader-Ansicht in verschiedenen Schriftgrößen/Schriftarten/Hintergrundfarben angenehm gelesen werden. Das mühsame Hineinzoomen in die RIS-Website ist für die unterstützten Datenbanken nicht mehr notwendig. Die angerufenen Dokumente (Entscheidungen, Rechtssätze, Paragraphen, Gesetzblätter, ...) können für später gemerkt oder als Link/PDF/Text geteilt, verschickt, kopiert, etc. werden._x000D_
_x000D_
Häufige Abfragen (z.B. Neuerscheinungen im BGBl in der letzten Woche) können individuell gemerkt und einfach wiederholt werden. Praktische Querverweise und Abfragen (z.B. Rechtssätze zur Entscheidung oder BGBl zum geltenden Paragraphen), auch an externe Datenquellen (Parlamentarische Materialien oder umgesetzte EU-Richtlinien zum BGBl) sind nur einen Tap entfernt. Hat man ein RIS-Dokument in Safari offen, so leitet die Funktion „in RIS Reader ansehen“ (Share-Extension) direkt auf das Dokument in der App weiter.</t>
  </si>
  <si>
    <t>2024-06-11 06:14:50.898041</t>
  </si>
  <si>
    <t>c36ccb34-0056-465d-9c56-c70bd08b3be8</t>
  </si>
  <si>
    <t>spritpreise-at-clever-tanken</t>
  </si>
  <si>
    <t>Spritpreise AT: Clever Tanken</t>
  </si>
  <si>
    <t>Entdecke mit dieser intuitiven und kostenlosen App den günstigsten Sprit in deiner Umgebung und spare ab sofort bei jeder Tankfüllung Geld!_x000D_
* Übersichtliche Darstellung: Mit unserer App hast du jederzeit einen schnellen Überblick über alle Tankstellen in ganz Österreich._x000D_
* Praktische Filter: Du kannst die Suche nach geöffneten Tankstellen oder den 10 günstigsten in deiner Umgebung eingrenzen._x000D_
* Preisverläufe und Trends: Verfolge die Preisentwicklung der letzten Monate und tanke immer zum richtigen Zeitpunkt._x000D_
* Rankings: Ranglisten geben Aufschluss darüber, wie günstig eine Tankstelle im Vergleich zu anderen ist._x000D_
* Favoritenliste: Speichere deine Lieblings-Tankstellen und erfahre immer sofort, wo der Preis am günstigsten ist._x000D_
* Spritkostenrechner: Berechne die Kosten für eine bestimmte Strecke oder erfahre, wie viel du im Jahr für Sprit ausgeben wirst._x000D_
* Bundeslandvergleich: Erfahre, welche Bundesländer die teuersten Spritpreise haben und wo du günstiger tankst. Damit kannst du auch bei Langstreckenfahrten clever tanken._x000D_
* Nachbarländervergleich: Wenn du ins Ausland fährst lohnt sich ein Blick, ob du besser im In- oder Ausland tanken solltest._x000D_
* Jahresrückblick: Werfe einen Blick auf die Preise der letzten 12 Monate und erfahre mehr über die Teuerungsrate durch die Spritpreisinflation._x000D_
* Benachrichtigungen: Auf Wunsch erhältst du Benachrichtigungen über Preissenkungen und Erhöhungen._x000D_
* Statistiken: Erhalte wichtige Preisdaten, um immer auf dem neuesten Stand zu sein._x000D_
_x000D_
_x000D_
"Spritpreise AT: Clever Tanken" ist kostenlos zum Download verfügbar.</t>
  </si>
  <si>
    <t>2024-06-11 06:14:51.485507</t>
  </si>
  <si>
    <t>["56f9f78e-a51a-4990-aebd-082aebfb0fe7"]</t>
  </si>
  <si>
    <t>bc52a248-d015-4293-a4ac-e8decbcb1fc1</t>
  </si>
  <si>
    <t>stadt-wien-app</t>
  </si>
  <si>
    <t>Stadt Wien-App</t>
  </si>
  <si>
    <t xml:space="preserve">Monumentalbrunnen Standorte Wien_x000D_
================================_x000D_
_x000D_
_x000D_
Die Stadt Wien-App liefert die richtigen Informationen zur richtigen Zeit für alle die in Wien leben: direkte Antworten, Stadtplan, Echtzeit-Mitteilungen, Nachrichten aus der Stadt._x000D_
_x000D_
Direkte Antworten:_x000D_
* zu allen Bereichen der Stadt von Abschleppen bis Zeckenimpfung_x000D_
* meistgenutzte Services auf einen Blick_x000D_
* automatische Suchvorschläge inklusive direkte Antworten vom WienBot_x000D_
* Lernt laufend durch User-Eingaben dazu_x000D_
_x000D_
_x000D_
Stadtplan:_x000D_
* Detaillierte Grundkarte_x000D_
* Umfangreiche Karteninhalte der Stadt Wien (z.B. Trinkbrunnen)_x000D_
* Suche nach Adressen und Karteninhalten (z.B. Haltestellen)_x000D_
* Öffi Routing zu Einträgen_x000D_
* Freie Auswahl der Adresssuche (Geschäfte und Lokale oder Stadt Wien Adressservice mit Stiegen)_x000D_
_x000D_
_x000D_
Nachrichten:_x000D_
* Echtzeitinformationen_x000D_
* Abfahrtszeiten und Straßenlexikon des jeweiligen Standortes_x000D_
* Neuigkeiten aus der Stadt_x000D_
* Stadt Wien Vorteilsclub (Gewinnspiele für Mitglieder)_x000D_
_x000D_
_x000D_
Profil:_x000D_
* Digitale Mitgliedskarte des Stadt Wien Vorteilsclubs_x000D_
* Verwaltung der Echtzeit-Mitteilungen (Störungen Wiener Linien, Wetterwarnungen, Veranstaltungen, Zivilschutz, …)_x000D_
* Einstellungen, Impressum, Datenschutz_x000D_
</t>
  </si>
  <si>
    <t>2024-06-11 06:14:51.879828</t>
  </si>
  <si>
    <t>["2c54f4d6-5712-4e5a-a025-b7f7a396c39b", "c223b93a-2634-4f06-ac73-8709b9e16888", "522d3045-0b37-48d0-b868-57c99726b1c4", "b01585af-110f-4f87-9bf1-06805605926c", "f1f6f15d-2faa-4b62-b78b-80599dd1c66e", "36a8b9e9-909e-4605-a7ba-686ee3e1b8bf", "54e495ec-e203-4c06-8707-36128dd22c50", "8d482810-26da-4bbc-8599-6b1fd1ab8743", "699a5a9a-348c-4a46-b99e-a23b59f27721", "c5cf2502-7572-4fd1-a836-48b335a2d47d", "aac2629e-495d-4468-9c8b-cd9649bd7b5d", "7c6e9dbf-487b-4146-a379-19e46642c392", "4315e096-f51e-4b56-8235-57be9789a62c", "2adc5a86-faa3-4b63-acff-a66128b811b7", "826d798e-01d1-48d3-973c-e0e466a63ca8", "523ba2e4-8c55-4dde-8acf-39e3621811b0", "96196887-5a20-4e93-a302-72f306f32c9d", "aa8876c7-9711-4969-b428-34400f2d0dbe", "6858b208-62bc-424e-9d7b-c89b74d3d3e3", "54fc7750-8540-4c22-8d46-9a6a2641c41a", "d2c6f6f5-2236-4217-8361-3297b6369979", "455cf48c-cdee-4721-a0ed-cd38af7aff0f", "fc725989-5c3e-4bf4-89b1-68caeec4d858", "146384fc-3f64-4482-a78a-2f082411a27d", "47c7ffa9-65ba-41d1-9461-4e5458afd62e", "5e6175cd-dc44-4b32-a64a-1ac4239a6e4a", "898afe8c-0297-45d6-b4b5-0cb9e632094b", "be2e0197-57b8-4fcf-a144-cb33f7466f3a", "2ed52078-7e55-40ea-8036-0d89118a06f4", "3e62e13e-3955-494a-91b3-f00ab9e84b48", "716d89ce-b0da-4158-abb6-72f562206b37", "f4e80988-c139-4953-8176-b3d6d03f6449", "87f121a7-eef0-4be9-9372-a5efe5b4d375", "f0335765-1ab0-4e94-ab38-f404de4c3b4d", "c1ba372b-dba2-4bce-b72e-b5c832eaaf44", "298e6b5a-21a8-4d56-9484-1bac58c94a26", "770f9237-9a7f-45e4-9647-aacf35ddee06", "97ef14eb-f280-48a7-96c0-df03859b06c2", "7fcf7f09-12d7-4b06-a183-93c51f940670", "72fbf32e-c8c3-4914-92a1-66dc2439a114", "354f9aa0-2f0a-4cdf-9b60-d023da93cc76", "627a9226-a907-4018-89e3-878002a9d22b", "8a528b7f-98af-4893-af73-5d5f26d3aa7c", "4e8d237b-8bd4-4483-a85d-431784c543b9", "c6fc4688-1aca-4363-bd1a-8d14ea08d2f8", "22add642-d849-48ff-9913-8c7ba2d99b46", "3ff63cf5-8d04-4be5-9449-96411ae9fc36", "6f412521-2e9b-44b1-a3e4-8f1358caef63", "bd8b518b-d812-46f9-b367-4c1b660cfc99", "8e420764-a913-4eae-8514-9be858fdb9b3", "aab0a0be-89e6-442e-8cf9-e762bd18f76b", "5d642d09-8e03-4200-a79b-2a397a6d5d51", "98908792-f315-4834-9b5e-20fed66cbe5a", "2ee6b8bf-6292-413c-bb8b-bd22dbb2ad4b", "9c203fec-dc0d-412c-a7a3-7fd77d0346f1", "ce6baef9-42a8-4c09-8d50-99be6ac4ca9e"]</t>
  </si>
  <si>
    <t>332f78a2-d9b5-4e62-898f-ecd813e2482d</t>
  </si>
  <si>
    <t>opendata-buddy</t>
  </si>
  <si>
    <t>Opendata Buddy: die Magie von KI zum Finden offener Datensätze nutzen</t>
  </si>
  <si>
    <t>“Opendata Buddy” ist ein innovativer Chatbot, der im Rahmen eines Hackathons von [open3.at](https://www.open3.at) als Proof-of-concept entwickelt wurde._x000D_
_x000D_
Der Opendata Buddy ist Ihre persönliche Schnittstelle zur Welt der Open Data in Österreich. Er nutzt die neuesten Fortschritte der KI-Technologie wie [GPTs](https://openai.com/blog/introducing-gpts), um Ihnen bei der Suche nach relevanten und nützlichen offenen Daten auf data.gv.at zu helfen._x000D_
_x000D_
Stellen Sie sich vor, Sie suchen Daten zum Thema „erneuerbare Energien“. Mit dem Opendata Buddy geben Sie einfach Ihre Anfrage ein und das Tool liefert Ihnen umgehend eine Liste relevanter Open-Data-Daten. Die technische Basis hierfür ist die openAPI Schnittstelle auf data.gv.at, die offen zugänglich ist &amp; vielfältige Innovationen ermöglicht._x000D_
_x000D_
Der Opendata Buddy ist unter &lt;https://www.open3.at/opendata-buddy&gt; erreichbar. Bitte beachten Sie, dass gemäß den Vorgaben von openAI derzeit ein kostenpflichtiges ChatGPT Plus Konto für die Nutzung erforderlich ist._x000D_
_x000D_
Der Opendata Buddy ist datenschutzfreundlich konfiguriert, sodass Ihre Eingabedaten nicht für das Training der openAI Modelle verwendet werden.</t>
  </si>
  <si>
    <t>2024-06-11 06:14:52.131285</t>
  </si>
  <si>
    <t>a4c09786-fcec-4c42-9ceb-e7a4b03c8703</t>
  </si>
  <si>
    <t>frey-tag-at</t>
  </si>
  <si>
    <t>Frey-tag.at</t>
  </si>
  <si>
    <t>Frey-tag.at ist ein österreichweiter Kulturkalender und online Magazin.</t>
  </si>
  <si>
    <t>2024-06-11 12:54:59.425233</t>
  </si>
  <si>
    <t>2024-06-11 12:51:11.128158</t>
  </si>
  <si>
    <t>3d76af33-8ee6-41b2-9003-7d4a051ff36f</t>
  </si>
  <si>
    <t>auswertungen-der-open-data-zum-bundesbudget-2024</t>
  </si>
  <si>
    <t>Auswertungen der Open Data Datensätze zum Bundesbudget 2024</t>
  </si>
  <si>
    <t>Auswertungen der Open Data zum österreichischen Bundesbudget mit der Statistik-Software R zu Anschauungszwecken</t>
  </si>
  <si>
    <t>2024-06-11 13:08:29.712883</t>
  </si>
  <si>
    <t>2024-06-11 13:00:13.607206</t>
  </si>
  <si>
    <t>["c327c54d-4e61-4334-bf8b-8d73113523a3"]</t>
  </si>
  <si>
    <t>a6aed657-82f9-478a-ba2f-470dcb442eca</t>
  </si>
  <si>
    <t>blickwinkel-2040</t>
  </si>
  <si>
    <t>Blickwinkel 2040</t>
  </si>
  <si>
    <t>Multimedia-Ausstellung (Klimaschutz und Klimaanpassungsmaßnahmen in Wien) Die Ausstellung besteht aus: Virtual-Reality-Film, Making-of-Film, Filmszenenplakate, Broschüre zum Film.</t>
  </si>
  <si>
    <t>2024-06-11 13:42:12.597494</t>
  </si>
  <si>
    <t>2024-06-11 13:28:08.755614</t>
  </si>
  <si>
    <t>["07ba3b74-3c40-4a36-838a-7ef4ced23546", "aae243bd-796f-46d6-86ab-4d7b403f15a8"]</t>
  </si>
  <si>
    <t>63bc4638-11fd-4afc-8743-5219e916a5ee</t>
  </si>
  <si>
    <t>pointly-s-city-inventory-classifier-3d-point-cloud</t>
  </si>
  <si>
    <t>Pointly's City Inventory Classifier - 3D Point Cloud</t>
  </si>
  <si>
    <t>The Pointly SaaS platform now offers a new standard classifier for automatic AI-based 3D point cloud classification, focusing on the classification of city inventories. Trained on the Kappazunder lidar-2020 Wien dataset and optimized for high-density mobile mapping scans, the city inventory classifier from Pointly can precisely distinguish between various object classes within urban area 3D point cloud scans. This helps automatically generate a detailed digital twin from mobile mapping scans.</t>
  </si>
  <si>
    <t>2024-06-11 13:41:59.589546</t>
  </si>
  <si>
    <t>2024-06-11 13:40:40.049102</t>
  </si>
  <si>
    <t>["566c8d52-b6f8-48b9-921e-856ba5be392d"]</t>
  </si>
  <si>
    <t>5eec5f0c-eabd-42c1-9060-01267ab80cd8</t>
  </si>
  <si>
    <t>asyl-recht-navigator</t>
  </si>
  <si>
    <t>Asyl Recht Navigator</t>
  </si>
  <si>
    <t>Das Rechtsinformationssystem des Bundes (RIS) ist ein essenzielles Recherchewerkzeug für Juristen. Für eine effektive Judikatur-Recherche im Asylbereich ist die Suche des RIS aber nicht ausreichend. Daher haben wir die RIS-Suche neu gedacht und setzen mit dem Projekt Asyl-Recht-Navigator einen neuen Standard effizienter Judikatur-Recherche im Asylbereich.</t>
  </si>
  <si>
    <t>2024-06-18 14:36:55.633819</t>
  </si>
  <si>
    <t>2024-06-18 14:36:20.564599</t>
  </si>
  <si>
    <t>4979e539-bfea-42b0-8f59-224fe4869ca0</t>
  </si>
  <si>
    <t>leitungsauskunft-at</t>
  </si>
  <si>
    <t>Leitungsauskunft.at</t>
  </si>
  <si>
    <t>Die Abfrage sämtlicher Einbauten für die Firmen TIWAG-Tiroler Wasserkraft AG, Innsbrucker Kommunalbetriebe AG, der TINETZ-Tiroler Netze GmbH sowie der TIGAS-Wärme Tirol GmbH kann zentral mit dieser Anwendung bequem und online durchgeführt werden.</t>
  </si>
  <si>
    <t>2024-06-18 14:50:12.180242</t>
  </si>
  <si>
    <t>2024-06-18 14:50:06.480121</t>
  </si>
  <si>
    <t>["7cb3fb29-6b14-477b-a88b-a6a526b59b40"]</t>
  </si>
  <si>
    <t>1e4d72e3-40b9-4aa5-97d5-240b5a19d10c</t>
  </si>
  <si>
    <t>breitband-atlas</t>
  </si>
  <si>
    <t>Breitbandatlas</t>
  </si>
  <si>
    <t>Der [Breitbandatlas](https://breitbandatlas.gv.at) ist die zentrale Informationsplattform des Bundes über die Breitbandversorgung in Österreich. Im Breitbandatlas wird anhand von Landkarten die Versorgung für feste und mobile Breitbandnetze öffentlich zugänglich gemacht. Neben der Darstellung der aktuellen festen und mobilen Breitbandversorgung sind im Breitbandatlas auch all jene Gebiete ersichtlich, in denen im Zuge der [Initiative Breitband Austria 2020 (BBA2020)](http://breitbandfoerderung.gv.at) ein geförderter Ausbau stattfindet. Diese Daten werden auf Basis von 100 × 100 Meter-Rasterzellen dargestellt._x000D_
_x000D_
Zudem besteht im Breitbandatlas die Möglichkeit, landwirtschaftliche Flächen (sogenannte Feldstücke) als Hintergrundkarte einzublenden. Durch die zunehmende Digitalisierung der Land- und Forstwirtschaft ist die Darstellung der Feldstücke in Kombination mit der Mobilfunknetzversorgung von besonderer Bedeutung. Darüber hinaus werden Auswertungen auf Basis von Mobilfunknetztestergebnissen angeboten, die Aufschluss über in der Vergangenheit erzielte, mittlere Downloadraten geben._x000D_
_x000D_
Das Breitbandbüro stellt die der Festnetz- und Mobilfunknetzversorgung sowie des geförderten Breitbandausbaus zugrunde liegenden Rohdaten auf Open Data Österreich als Download zur Verfügung.</t>
  </si>
  <si>
    <t>["2c54f4d6-5712-4e5a-a025-b7f7a396c39b", "19b8d43f-4666-4a8c-98ef-c059fff9f192", "588b9fdc-d2dd-4628-b186-f7b974065d40", "13a9f9d7-f013-4b12-a990-387714039247"]</t>
  </si>
  <si>
    <t>24e76a52-2856-4c06-884b-e4290b523efe</t>
  </si>
  <si>
    <t>atlas-art-by-craftyourmap</t>
  </si>
  <si>
    <t>Atlas Art by CraftYourMap</t>
  </si>
  <si>
    <t>Atlas Art ist eine Design-Kollektion, basierend auf 3D-Visualisierungen des österreichischen digitalen Geländemodells und ausgearbeitet als Fine-Art Print._x000D_
_x000D_
Die Motive entstanden in einem aufwendigen Produktionsprozess: Es beginnt mit engmaschigen Geländedaten und diese Rohdaten stellen die Grundlage für die folgende 3D-Bearbeitung dar. Jedem Punkt im Raster ist eine Höhe zugeordnet und diese wird mit Hilfe einer professionellen 3D-Modellierungssoftware zu einem geometrischen Objekt umgewandelt. Eine virtuelle Beleuchtung erzeugt eine passende Stimmung und anschließend wird daraus ein fotorealistisches Bild berechnet - man spricht dabei von einem Rendering._x000D_
_x000D_
Das Ergebnis kann sich sehen lassen: feine landschaftliche Details lassen sich wiedererkennen und wecken die Lust am Entdecken!</t>
  </si>
  <si>
    <t>2024-06-11 06:14:49.847147</t>
  </si>
  <si>
    <t>48b53554-3fa8-4e9a-84e3-4276a11fe894</t>
  </si>
  <si>
    <t>detekt</t>
  </si>
  <si>
    <t>Detekt</t>
  </si>
  <si>
    <t>Detekt ist eine moderne Geodatenplattform zur Objekt-, Oberflächen- und Schadenserkennung in Mobile Mapping Daten und arbeitet mit einer Vielfalt an Bild-, LiDAR- und GIS-Daten._x000D_
_x000D_
Mithilfe von Künstlicher Intelligenz erkennt Detekt Straßenschäden, Verkehrszeichen und Bodenmarkierungen im öffentlichen Raum und liefert für jede Detektion den exakten Standort und die Abmessungen. Eine integrierte Annotations- und Trainingsfunktionalität ermöglicht die Erkennung beliebiger Objekte oder Oberflächen ohne notwendiger Machine Learning-Vorkenntnisse._x000D_
_x000D_
Detekt wird bereits in der Stadt Wien und insbesondere in der Stadtvermessung MA41 eingesetzt, legt die Grundlage für die Finanzplanung und stellt detaillierte Ergebnisse für das Infrastruktur- und Asset-Management von Städten und Gemeinden bereit.</t>
  </si>
  <si>
    <t>2024-06-11 06:14:50.077273</t>
  </si>
  <si>
    <t>de7fd69e-643f-40ed-8289-69c80985a446</t>
  </si>
  <si>
    <t>gem2go-die-gemeinde-info-und-service-app</t>
  </si>
  <si>
    <t>Gem2Go Die Gemeinde Info und Service App</t>
  </si>
  <si>
    <t>Gem2Go ist eine mobile Bürgerservice App. Sie bietet allen Bürgern in Österreich wichtige Informationen rund um die eigene Gemeinde. Diese Informationen beinhalten: Allgemeine News, Veranstaltungskalender, Müllkalender, Unterkünfte, Gastronomie, Freizeitaktivitäten, uvm._x000D_
_x000D_
Schnittstellen zum Bundeskanzleramt, oesterreich.gv.at oder Pegelalarm erweitern das Informationsangebot. Mittlerweile ist Gem2Go auf die offizielle amtsweg.gv.at App, was es ihr möglich macht auch Online Formulare anzuzeigen. Zudem ist Gem2Go offizieller Bluecode Partner. Somit kann man mit der Gem2Go App in vielen österreichischen Geschäften bereits mobil bezahlen.</t>
  </si>
  <si>
    <t>2024-06-11 06:14:51.224548</t>
  </si>
  <si>
    <t>["2eb011e4-e899-4eee-885d-4b9da665033c", "52abfc2b-031c-4875-b838-653abbfccf4e", "2c54f4d6-5712-4e5a-a025-b7f7a396c39b", "2f6649b6-2b2d-49a9-ab31-6c7e43728001", "ef8e980b-9644-45d8-b0e9-c6aaf0eff0c0", "734a5746-bbda-4fc0-8eb3-52c6325ceb88", "7effe370-ce79-4286-b299-c5d851f546ff"]</t>
  </si>
  <si>
    <t>bf023a75-c99b-42ec-88fd-69cb9b7930e5</t>
  </si>
  <si>
    <t>flexlex</t>
  </si>
  <si>
    <t>FlexLex</t>
  </si>
  <si>
    <t>Individuelle Gesetzessammlungen für Beruf, Lehre und Studium._x000D_
_x000D_
Gesetze online auswählen, individuell zusammenstellen und verwalten: Mit FlexLex haben Sie Zugriff auf alle Bestimmungen des österreichischen Bundes- und Landesrechts sowie des EU-Sekundärrechts und können Ihre eigenen Gesetzessammlungen nach Ihren Wünschen erstellen._x000D_
_x000D_
Zudem informiert Sie FlexLex über Gesetzesänderungen und Novellierungen – so können Sie einzelne Gesetzesteile leicht vergleichen und sind fachlich immer auf dem neuesten Stand._x000D_
_x000D_
Bestellen Sie alle Gesetzestexte als handliches Taschenbuch für den täglichen Gebrauch. Gedruckt wird Ihre individuelle Gesetzessammlung mit allen tagesaktuellen Bestimmungen, die Sie in Beruf, Lehre und Studium benötigen._x000D_
_x000D_
Optimal für Dozentinnen und Dozenten: Erstellen Sie online eine Gesetzessammlung, die an Ihre Lehrveranstaltung oder ihr Lehrwerk angepasst ist. Per Link werden die ausgewählten und von Ihnen autorisierten Gesetzestexte mit Ihren Studierenden geteilt und können per print-on-demand-Funktion gedruckt werden.</t>
  </si>
  <si>
    <t>2024-06-11 06:14:51.057528</t>
  </si>
  <si>
    <t>eaa007ab-b9d9-43f9-946b-574b5a7825ed</t>
  </si>
  <si>
    <t>gem2go-web</t>
  </si>
  <si>
    <t>GEM2GO WEB</t>
  </si>
  <si>
    <t>GEM2GO WEB ist ein modernes und innovatives Homepage-Management-System speziell für Gemeinden und Städte. Mit GEM2GO WEB setzt man Gemeinde- oder Stadt-Webseiten den gesetzlichen Vorschriften entsprechend barrierefrei, einfach und nahe am Bürger um. Mehr als 1200 Gemeinden in Österreich und Südtirol vertrauen bereits auf GEM2GO WEB._x000D_
GEM2GO WEB ist ein Komplettangebot: es beinhaltet alles rund um die Homepage der Gemeinde oder Stadt (Kommune), wie Hosting, Internetverbindung, Einschulung der Datenverarbeitung, Software-Wartung und Support.</t>
  </si>
  <si>
    <t>2024-06-11 06:14:51.191352</t>
  </si>
  <si>
    <t>["2c54f4d6-5712-4e5a-a025-b7f7a396c39b", "2eb011e4-e899-4eee-885d-4b9da665033c"]</t>
  </si>
  <si>
    <t>841c434e-fb42-4846-bf2e-5ba147c21ad4</t>
  </si>
  <si>
    <t>wiener-linien-esp32-s3-public-transport-departure-monitor</t>
  </si>
  <si>
    <t>Wiener Linien ESP32-S3 Public Transport Departure Monitor</t>
  </si>
  <si>
    <t>The ESP32-S3 Public Transport Departure Monitor project is a small device based on the ESP32-S3 platform. It allows you to track public transport departures in real-time and receive a countdown to the next departures. The project is based on the use of open data from the City of Vienna provided by Wiener Linien. Video:_x000D_
_x000D_
[video width="576" height="1024" mp4="https://www.data.gv.at/wp-content/uploads/2023/08/wl-monitor-assembly.mp4"][/video]</t>
  </si>
  <si>
    <t>2024-06-11 06:14:51.778033</t>
  </si>
  <si>
    <t>27f534d7-29f9-427d-9e27-fa99d24c986c</t>
  </si>
  <si>
    <t>cooles-wien</t>
  </si>
  <si>
    <t>Cooles Wien</t>
  </si>
  <si>
    <t>Steigende Temperaturen belasten besonders im dicht verbauten urbanen Raum nicht nur das Mikroklima, sondern auch die Gesundheit. Die “Cooles Wien”-App erleichterte es seit 2020 mitten im aufgeheizten Großstadtdschungel schnell und einfach Plätze zu finden, die für Abkühlung und Erfrischung sorgen. Auf einer digitalen Landkarten sah man Trinkbrunnen, Sprühnebelduschen (“Sommerspritzer”), Bäder, Naturbadeplätze, Wasserpielplätze und viele weitere „Cooling-Points“ in nächster Nähe. Wissenswerte Infos zum Thema Wiener Wasser und weitere coole Maßnahmen (zB Förderung von Fassadenbegrünung) waren ebenso abrufbar und wurden laufend aktualisiert._x000D_
_x000D_
Die App ist ab 1. September 2023 nicht mehr in den App-Stores verfügbar, weil die Funktionen in die [Stadt Wien-App](https://www.data.gv.at/application/stadt-wien-app/)aufgenommen worden sind. Mehr dazu: &lt;https://www.wien.gv.at/umwelt/cooleswien/app.html&gt;</t>
  </si>
  <si>
    <t>2024-06-11 06:14:51.843689</t>
  </si>
  <si>
    <t>["2ed52078-7e55-40ea-8036-0d89118a06f4", "22add642-d849-48ff-9913-8c7ba2d99b46", "ce6baef9-42a8-4c09-8d50-99be6ac4ca9e", "898afe8c-0297-45d6-b4b5-0cb9e632094b", "7c6e9dbf-487b-4146-a379-19e46642c392", "bd8b518b-d812-46f9-b367-4c1b660cfc99"]</t>
  </si>
  <si>
    <t>f98392ef-05fd-4d48-b5a9-7cdfc54f06b6</t>
  </si>
  <si>
    <t>wo-und-wann-waren-welche-namen-populaer</t>
  </si>
  <si>
    <t>Wo und wann waren welche Namen populär?</t>
  </si>
  <si>
    <t>Visualisierung der Vornamensstatistik der Statistik Austria. Im Rahmen der Anwendung können zwei oder mehr männliche oder weibliche Vornamen ausgewählt und miteinander verglichen werden. Dargestellt wird ein Liniendiagramm mit der Anzahl der Kinder, an die die ausgewählten Namen zwischen 1984 und 2022 vergeben wurden, sowie eine Österreich-Karte, in der die Bezirke  nach der Popularität der Namen eingefärbt sind.</t>
  </si>
  <si>
    <t>2024-06-11 06:14:51.921106</t>
  </si>
  <si>
    <t>["603066f6-0f0a-3806-b394-f14b7d2cb437"]</t>
  </si>
  <si>
    <t>b6ff0aaa-adcf-4cef-898f-9403dac49713</t>
  </si>
  <si>
    <t>wienbot-2</t>
  </si>
  <si>
    <t>WienBot - Digitaler Assistent der Stadt Wien</t>
  </si>
  <si>
    <t>Fragen zu Wien? Der WienBot gibt rund um die Uhr Antworten. Schnell, einfach und direkt via Sprachfunktion oder Chat._x000D_
_x000D_
Den WienBot kann man nach Parkgebühren und Eintrittspreisen, Öffnungszeiten und Veranstaltungen fragen. Man kann sich von ihm den nächsten Trinkbrunnen oder Müllsammelstellen in der Nähe im Stadtplan anzeigen lassen, wann die nächste U-Bahn fährt und wie man am schnellsten in den Wiener Prater kommt. Das und noch viel mehr beantwortet der WienBot kurz und prägnant direkt in der App._x000D_
_x000D_
**Beliebte Funktionen des Assistenten:**_x000D_
**Wegbeschreibung und Fahrplanauskunft**_x000D_
_x000D_
"Wie komme ich ins Gänsehäufel?" Der WienBot zeigt nicht nur, wie man am schnellsten ans Ziel kommt, sondern auch wann die nächsten Öffis dorthinfahren._x000D_
_x000D_
**Antworten mit anderen teilen**_x000D_
_x000D_
Weil es gemeinsam bekanntlich mehr Spaß macht, können die Antworten des WienBots nun mit anderen geteilt werden. Das ist besonders praktisch, wenn man eine Route mit Ort und Zeit mit anderen teilen möchte. Abgerufen werden die Daten dann in Echtzeit. Also: "Wie komme ich um 20 Uhr zum Rathausplatz?"_x000D_
_x000D_
**Integration Stadtplan**_x000D_
_x000D_
"Wo ist der nächste Trinkbrunnen?" Besonders praktisch ist diese Funktion, wenn man gerade in der Stadt unterwegs ist. Der WienBot zeigt den nächsten Trinkbrunnen, Mistplatz oder die nächste Hundezone übersichtlich im Stadtplan an.</t>
  </si>
  <si>
    <t>2024-06-11 06:14:52.494758</t>
  </si>
  <si>
    <t>["9c203fec-dc0d-412c-a7a3-7fd77d0346f1", "522d3045-0b37-48d0-b868-57c99726b1c4", "b01585af-110f-4f87-9bf1-06805605926c", "2c54f4d6-5712-4e5a-a025-b7f7a396c39b", "f1f6f15d-2faa-4b62-b78b-80599dd1c66e", "36a8b9e9-909e-4605-a7ba-686ee3e1b8bf", "54e495ec-e203-4c06-8707-36128dd22c50", "8d482810-26da-4bbc-8599-6b1fd1ab8743", "699a5a9a-348c-4a46-b99e-a23b59f27721", "c5cf2502-7572-4fd1-a836-48b335a2d47d", "aac2629e-495d-4468-9c8b-cd9649bd7b5d", "7c6e9dbf-487b-4146-a379-19e46642c392", "4315e096-f51e-4b56-8235-57be9789a62c", "2adc5a86-faa3-4b63-acff-a66128b811b7", "826d798e-01d1-48d3-973c-e0e466a63ca8", "523ba2e4-8c55-4dde-8acf-39e3621811b0", "96196887-5a20-4e93-a302-72f306f32c9d", "aa8876c7-9711-4969-b428-34400f2d0dbe", "6858b208-62bc-424e-9d7b-c89b74d3d3e3", "54fc7750-8540-4c22-8d46-9a6a2641c41a", "d2c6f6f5-2236-4217-8361-3297b6369979", "455cf48c-cdee-4721-a0ed-cd38af7aff0f", "fc725989-5c3e-4bf4-89b1-68caeec4d858", "146384fc-3f64-4482-a78a-2f082411a27d", "47c7ffa9-65ba-41d1-9461-4e5458afd62e", "5e6175cd-dc44-4b32-a64a-1ac4239a6e4a", "898afe8c-0297-45d6-b4b5-0cb9e632094b", "71084c02-973d-4544-b804-7ed82bd53027", "be2e0197-57b8-4fcf-a144-cb33f7466f3a", "2ed52078-7e55-40ea-8036-0d89118a06f4", "3e62e13e-3955-494a-91b3-f00ab9e84b48", "716d89ce-b0da-4158-abb6-72f562206b37", "f4e80988-c139-4953-8176-b3d6d03f6449", "87f121a7-eef0-4be9-9372-a5efe5b4d375", "f0335765-1ab0-4e94-ab38-f404de4c3b4d", "c1ba372b-dba2-4bce-b72e-b5c832eaaf44", "298e6b5a-21a8-4d56-9484-1bac58c94a26", "770f9237-9a7f-45e4-9647-aacf35ddee06", "97ef14eb-f280-48a7-96c0-df03859b06c2", "7fcf7f09-12d7-4b06-a183-93c51f940670", "72fbf32e-c8c3-4914-92a1-66dc2439a114", "354f9aa0-2f0a-4cdf-9b60-d023da93cc76", "627a9226-a907-4018-89e3-878002a9d22b", "8a528b7f-98af-4893-af73-5d5f26d3aa7c", "4e8d237b-8bd4-4483-a85d-431784c543b9", "c6fc4688-1aca-4363-bd1a-8d14ea08d2f8", "22add642-d849-48ff-9913-8c7ba2d99b46", "3ff63cf5-8d04-4be5-9449-96411ae9fc36", "6f412521-2e9b-44b1-a3e4-8f1358caef63", "bd8b518b-d812-46f9-b367-4c1b660cfc99", "8e420764-a913-4eae-8514-9be858fdb9b3", "aab0a0be-89e6-442e-8cf9-e762bd18f76b", "aab0a0be-89e6-442e-8cf9-e762bd18f76b", "5d642d09-8e03-4200-a79b-2a397a6d5d51", "98908792-f315-4834-9b5e-20fed66cbe5a", "2ee6b8bf-6292-413c-bb8b-bd22dbb2ad4b"]</t>
  </si>
  <si>
    <t>8ad7dacd-b977-4ead-b6c2-19c030ec5964</t>
  </si>
  <si>
    <t>entdecke-dnaustria</t>
  </si>
  <si>
    <t>Entdecke DNAustria</t>
  </si>
  <si>
    <t>Entdecke.DNAustria: die zentrale Info-Plattform mit Wissenschafts- und Demokratievermittlungsangeboten:_x000D_
Ob Hochschulen, Forschungseinrichtungen, Förderagenturen, Museen, Bibliotheken oder auch Vereine - es gibt unzählige Veranstalterinnen und Veranstalter in Österreich, die Wissenschaft und Demokratie erforschen, erleben und entdecken lassen._x000D_
Eine Filterung nach Kriterien ist möglich.</t>
  </si>
  <si>
    <t>2024-06-27 09:42:13.917489</t>
  </si>
  <si>
    <t>2024-06-27 09:41:15.113005</t>
  </si>
  <si>
    <t>37fa9330-73a3-451d-a56f-b8d885ea8420</t>
  </si>
  <si>
    <t>deermapper-digitale-jagdverwaltung</t>
  </si>
  <si>
    <t>Deermapper - Digitale Jagdverwaltung</t>
  </si>
  <si>
    <t>Deermapper ist die moderne Software zur digitalen Jagdverwaltung. Grundlage von Deermapper ist das digital erfasste Jagdrevier (Reviergrenzen, Revierteile und Reviereinrichtungen). Jäger im Revier erfassen ihre Jagden, Abschüsse, Beobachtungen, Fütterungen, Arbeitsleistungen etc. GPS-genau über unsere Smartphone App oder unsere Webapplikation. Alle Daten laufen zentral beim Jagdverwalter zusammen, der aktuelle Abschüsse, reservierte und besetzte Ansitzeinrichtung überprüfen oder Gesellschaftsjagden planen kann. Die verschiedenen Funktionen von Deermapper können über eine individuelle Rechtevergabe zur Verfügung gestellt werden.</t>
  </si>
  <si>
    <t>2024-06-11 06:14:48.031597</t>
  </si>
  <si>
    <t>ed3b5362-b115-4074-8f35-8122f42bbb88</t>
  </si>
  <si>
    <t>ivie-wien-city-guide</t>
  </si>
  <si>
    <t>ivie -  Wien City Guide</t>
  </si>
  <si>
    <t>Wien mit dem Smartphone neu entdecken? ivie, der digitale City Guide für Wien, ist die perfekte Begleiterin durch die Stadt._x000D_
_x000D_
Die neue App (iOS und Android) von WienTourismus rückt bekannte Sehenswürdigkeiten in ein neues Licht, verrät Geheimtipps und hat jede Menge kuriose Geschichten und schräge Anekdoten auf Lager. Aber auch themenbezogene City Walks und nützliche Infos für den urbanen Alltag sind Teil des digitalen Stadtführers und Reiseführers._x000D_
_x000D_
ivie zeigt die Vielfalt Wiens von einer neuen Seite und inspiriert dazu, die Stadt intensiver zu erleben. Denn Wien steckt voller Überraschungen.</t>
  </si>
  <si>
    <t>2024-06-11 06:14:47.177124</t>
  </si>
  <si>
    <t>["354f9aa0-2f0a-4cdf-9b60-d023da93cc76", "146384fc-3f64-4482-a78a-2f082411a27d", "be2e0197-57b8-4fcf-a144-cb33f7466f3a", "2ed52078-7e55-40ea-8036-0d89118a06f4", "523ba2e4-8c55-4dde-8acf-39e3621811b0"]</t>
  </si>
  <si>
    <t>787bab96-dc54-416b-8b4a-802758cb477e</t>
  </si>
  <si>
    <t>findaloo-offentliche-toiletten-finden</t>
  </si>
  <si>
    <t>Findaloo - öffentliche Toiletten finden</t>
  </si>
  <si>
    <t>Findaloo ist eine für mobile Endgeräte optimierte Webseite zum Auffinden von öffentlichen Toiletten in Wien. Dabei stehen drei Möglichkeiten zur Verfügung: Standortbestimmung über das Endgerät (optional), Eingabe einer Adresse oder die Auswahl eines der 23 Wiener Bezirke. Die Darstellung erfolgt auf einer Kartenansicht mit angeschlossener Listendarstellung._x000D_
_x000D_
Die Webseite stellt das Bachelorprojekt von Franziska Eder an der SAE Wien dar.</t>
  </si>
  <si>
    <t>2024-06-11 06:14:46.459888</t>
  </si>
  <si>
    <t>c9cf146a-0014-49e1-bbf2-84b6386fa687</t>
  </si>
  <si>
    <t>rundumadum-android-app</t>
  </si>
  <si>
    <t>Rundumadum - Android App</t>
  </si>
  <si>
    <t xml:space="preserve">Die Rundumadum App soll einen Überblick über den Wiener Rundumadum Wanderweg geben. Sie soll sowohl zum Planen einer Wanderung und der einzelnen Etappen, als auch während der Wanderung zur Navigation dienen. </t>
  </si>
  <si>
    <t>2024-06-11 06:14:43.066311</t>
  </si>
  <si>
    <t>e12fe750-b939-448b-85a3-536ae8e58192</t>
  </si>
  <si>
    <t>energy-ahead</t>
  </si>
  <si>
    <t>Energy Ahead</t>
  </si>
  <si>
    <t>Die Energy!ahead-App der Stadt Wien zeigt zahlreiche Leuchtturmprojekte, von der effizienten Sanierung historischer Gebäude bis hin zu innovativen und klimaschonenden Energiesystemen in Stadtentwicklungsgebieten._x000D_
_x000D_
Ausgewählte Energie-Erzeugungsanlagen der Stadt Wien, angefangen vom Kleinwasserkraftwerk Nussdorf bis hin zu geförderten Solaranlagen sind mit der App abrufbar. So können Sie sehen, wo in der Stadt Energie erzeugt wird._x000D_
_x000D_
Zu jedem Objekt erhalten Sie nützliche Informationen mit den wesentlichen energierelevanten Kenngrößen, wie etwa den Heizwärmebedarf bei energieeffizienten Gebäuden._x000D_
_x000D_
Außerdem enthält die Energy!ahead-App Wiener Bildungseinrichtungen mit Energieschwerpunkt. Damit wissen Sie, wo Sie sich im Bereich Energie aus- und weiterbilden können.</t>
  </si>
  <si>
    <t>2024-06-11 06:14:43.553965</t>
  </si>
  <si>
    <t>["fa499042-c486-42a0-973a-7211490c1764", "2c54f4d6-5712-4e5a-a025-b7f7a396c39b"]</t>
  </si>
  <si>
    <t>string_agg_1</t>
  </si>
  <si>
    <t>string_agg_2</t>
  </si>
  <si>
    <t>string_agg_3</t>
  </si>
  <si>
    <t>string_agg_4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</si>
</sst>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Font="1"/>
    <xf numFmtId="0" fontId="0" fillId="0" borderId="0" xfId="0" applyAlignment="1">
      <alignment wrapText="1"/>
    </xf>
    <xf numFmtId="22"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BRZCorporateDesignTheme">
  <a:themeElements>
    <a:clrScheme name="Brz Corporate Design">
      <a:dk1>
        <a:srgbClr val="00587A"/>
      </a:dk1>
      <a:lt1>
        <a:srgbClr val="FFFFFF"/>
      </a:lt1>
      <a:dk2>
        <a:srgbClr val="B91E23"/>
      </a:dk2>
      <a:lt2>
        <a:srgbClr val="FFFFFF"/>
      </a:lt2>
      <a:accent1>
        <a:srgbClr val="00587A"/>
      </a:accent1>
      <a:accent2>
        <a:srgbClr val="009C9B"/>
      </a:accent2>
      <a:accent3>
        <a:srgbClr val="96BE50"/>
      </a:accent3>
      <a:accent4>
        <a:srgbClr val="F2A900"/>
      </a:accent4>
      <a:accent5>
        <a:srgbClr val="D86018"/>
      </a:accent5>
      <a:accent6>
        <a:srgbClr val="394348"/>
      </a:accent6>
      <a:hlink>
        <a:srgbClr val="009C9B"/>
      </a:hlink>
      <a:folHlink>
        <a:srgbClr val="00587A"/>
      </a:folHlink>
    </a:clrScheme>
    <a:fontScheme name="BRZ Corporate Design">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46"/>
  <sheetViews>
    <sheetView tabSelected="1" topLeftCell="A745" workbookViewId="0">
      <selection activeCell="W752" sqref="W752"/>
    </sheetView>
  </sheetViews>
  <sheetFormatPr defaultColWidth="11.42578125" defaultRowHeight="15" x14ac:dyDescent="0.25"/>
  <sheetData>
    <row r="1" spans="1:24" x14ac:dyDescent="0.25">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4146</v>
      </c>
      <c r="V1" t="s">
        <v>4147</v>
      </c>
      <c r="W1" t="s">
        <v>4148</v>
      </c>
      <c r="X1" t="s">
        <v>4149</v>
      </c>
    </row>
    <row r="2" spans="1:24" ht="409.5" x14ac:dyDescent="0.25">
      <c r="A2" t="s">
        <v>20</v>
      </c>
      <c r="B2" t="s">
        <v>21</v>
      </c>
      <c r="C2" t="s">
        <v>22</v>
      </c>
      <c r="F2" s="2" t="s">
        <v>23</v>
      </c>
      <c r="L2" t="s">
        <v>24</v>
      </c>
      <c r="M2" t="s">
        <v>25</v>
      </c>
      <c r="O2" t="s">
        <v>26</v>
      </c>
      <c r="P2" t="s">
        <v>27</v>
      </c>
      <c r="Q2" t="s">
        <v>28</v>
      </c>
      <c r="R2" s="3">
        <v>41190.513078703705</v>
      </c>
      <c r="T2" t="s">
        <v>29</v>
      </c>
      <c r="U2" t="str">
        <f>LEFT(T2, 1024)</f>
        <v>[]</v>
      </c>
      <c r="V2" t="str">
        <f>MID(T2, 1025, 1024)</f>
        <v/>
      </c>
      <c r="W2" t="str">
        <f>MID(T2, 2049, 1024)</f>
        <v/>
      </c>
      <c r="X2" t="str">
        <f>MID(T2, 3073, 1024)</f>
        <v/>
      </c>
    </row>
    <row r="3" spans="1:24" ht="360" x14ac:dyDescent="0.25">
      <c r="A3" t="s">
        <v>30</v>
      </c>
      <c r="B3" t="s">
        <v>31</v>
      </c>
      <c r="C3" t="s">
        <v>32</v>
      </c>
      <c r="F3" s="2" t="s">
        <v>33</v>
      </c>
      <c r="L3" t="s">
        <v>24</v>
      </c>
      <c r="M3" t="s">
        <v>25</v>
      </c>
      <c r="O3" t="s">
        <v>26</v>
      </c>
      <c r="P3" t="s">
        <v>34</v>
      </c>
      <c r="Q3" t="s">
        <v>28</v>
      </c>
      <c r="R3" s="3">
        <v>41190.548645833333</v>
      </c>
      <c r="T3" t="s">
        <v>35</v>
      </c>
      <c r="U3" t="str">
        <f t="shared" ref="U3:U66" si="0">LEFT(T3, 1024)</f>
        <v>["d3c0a223-516b-4049-9370-22881a0428d8", "7562f659-398d-46d7-9167-7f9ccaa00263", "9c203fec-dc0d-412c-a7a3-7fd77d0346f1"]</v>
      </c>
      <c r="V3" t="str">
        <f t="shared" ref="V3:V66" si="1">MID(T3, 1025, 1024)</f>
        <v/>
      </c>
      <c r="W3" t="str">
        <f t="shared" ref="W3:W66" si="2">MID(T3, 2049, 1024)</f>
        <v/>
      </c>
      <c r="X3" t="str">
        <f t="shared" ref="X3:X66" si="3">MID(T3, 3073, 1024)</f>
        <v/>
      </c>
    </row>
    <row r="4" spans="1:24" x14ac:dyDescent="0.25">
      <c r="A4" t="s">
        <v>36</v>
      </c>
      <c r="B4" t="s">
        <v>37</v>
      </c>
      <c r="C4" t="s">
        <v>38</v>
      </c>
      <c r="F4" t="s">
        <v>39</v>
      </c>
      <c r="L4" t="s">
        <v>24</v>
      </c>
      <c r="M4" t="s">
        <v>25</v>
      </c>
      <c r="O4" t="s">
        <v>26</v>
      </c>
      <c r="P4" t="s">
        <v>40</v>
      </c>
      <c r="Q4" t="s">
        <v>28</v>
      </c>
      <c r="R4" s="3">
        <v>41190.510254629633</v>
      </c>
      <c r="T4" t="s">
        <v>41</v>
      </c>
      <c r="U4" t="str">
        <f t="shared" si="0"/>
        <v>["b2068d46-de7f-4a22-a563-4dea59b1e6f2"]</v>
      </c>
      <c r="V4" t="str">
        <f t="shared" si="1"/>
        <v/>
      </c>
      <c r="W4" t="str">
        <f t="shared" si="2"/>
        <v/>
      </c>
      <c r="X4" t="str">
        <f t="shared" si="3"/>
        <v/>
      </c>
    </row>
    <row r="5" spans="1:24" ht="409.5" x14ac:dyDescent="0.25">
      <c r="A5" t="s">
        <v>42</v>
      </c>
      <c r="B5" t="s">
        <v>43</v>
      </c>
      <c r="C5" t="s">
        <v>44</v>
      </c>
      <c r="F5" s="2" t="s">
        <v>45</v>
      </c>
      <c r="L5" t="s">
        <v>24</v>
      </c>
      <c r="M5" t="s">
        <v>25</v>
      </c>
      <c r="O5" t="s">
        <v>26</v>
      </c>
      <c r="P5" t="s">
        <v>46</v>
      </c>
      <c r="Q5" t="s">
        <v>28</v>
      </c>
      <c r="R5" s="3">
        <v>41190.5231712963</v>
      </c>
      <c r="T5" t="s">
        <v>47</v>
      </c>
      <c r="U5" t="str">
        <f t="shared" si="0"/>
        <v>["8d482810-26da-4bbc-8599-6b1fd1ab8743"]</v>
      </c>
      <c r="V5" t="str">
        <f t="shared" si="1"/>
        <v/>
      </c>
      <c r="W5" t="str">
        <f t="shared" si="2"/>
        <v/>
      </c>
      <c r="X5" t="str">
        <f t="shared" si="3"/>
        <v/>
      </c>
    </row>
    <row r="6" spans="1:24" x14ac:dyDescent="0.25">
      <c r="A6" t="s">
        <v>48</v>
      </c>
      <c r="B6" t="s">
        <v>49</v>
      </c>
      <c r="C6" t="s">
        <v>50</v>
      </c>
      <c r="F6" t="s">
        <v>51</v>
      </c>
      <c r="L6" t="s">
        <v>24</v>
      </c>
      <c r="M6" t="s">
        <v>25</v>
      </c>
      <c r="O6" t="s">
        <v>26</v>
      </c>
      <c r="P6" t="s">
        <v>52</v>
      </c>
      <c r="Q6" t="s">
        <v>28</v>
      </c>
      <c r="R6" s="3">
        <v>41190.53496527778</v>
      </c>
      <c r="T6" t="s">
        <v>29</v>
      </c>
      <c r="U6" t="str">
        <f t="shared" si="0"/>
        <v>[]</v>
      </c>
      <c r="V6" t="str">
        <f t="shared" si="1"/>
        <v/>
      </c>
      <c r="W6" t="str">
        <f t="shared" si="2"/>
        <v/>
      </c>
      <c r="X6" t="str">
        <f t="shared" si="3"/>
        <v/>
      </c>
    </row>
    <row r="7" spans="1:24" ht="409.5" x14ac:dyDescent="0.25">
      <c r="A7" s="4" t="s">
        <v>53</v>
      </c>
      <c r="B7" t="s">
        <v>54</v>
      </c>
      <c r="C7" t="s">
        <v>55</v>
      </c>
      <c r="F7" s="2" t="s">
        <v>56</v>
      </c>
      <c r="L7" t="s">
        <v>24</v>
      </c>
      <c r="M7" t="s">
        <v>25</v>
      </c>
      <c r="O7" t="s">
        <v>26</v>
      </c>
      <c r="P7" t="s">
        <v>57</v>
      </c>
      <c r="Q7" t="s">
        <v>28</v>
      </c>
      <c r="R7" s="3">
        <v>41190.530370370368</v>
      </c>
      <c r="T7" t="s">
        <v>29</v>
      </c>
      <c r="U7" t="str">
        <f t="shared" si="0"/>
        <v>[]</v>
      </c>
      <c r="V7" t="str">
        <f t="shared" si="1"/>
        <v/>
      </c>
      <c r="W7" t="str">
        <f t="shared" si="2"/>
        <v/>
      </c>
      <c r="X7" t="str">
        <f t="shared" si="3"/>
        <v/>
      </c>
    </row>
    <row r="8" spans="1:24" x14ac:dyDescent="0.25">
      <c r="A8" t="s">
        <v>58</v>
      </c>
      <c r="B8" t="s">
        <v>59</v>
      </c>
      <c r="C8" t="s">
        <v>60</v>
      </c>
      <c r="F8" t="s">
        <v>61</v>
      </c>
      <c r="L8" t="s">
        <v>24</v>
      </c>
      <c r="M8" t="s">
        <v>25</v>
      </c>
      <c r="O8" t="s">
        <v>26</v>
      </c>
      <c r="P8" t="s">
        <v>62</v>
      </c>
      <c r="Q8" t="s">
        <v>28</v>
      </c>
      <c r="R8" s="3">
        <v>41208.873518518521</v>
      </c>
      <c r="T8" t="s">
        <v>63</v>
      </c>
      <c r="U8" t="str">
        <f t="shared" si="0"/>
        <v>["21fca925-12ac-4215-ba1a-a9c73cb3b082"]</v>
      </c>
      <c r="V8" t="str">
        <f t="shared" si="1"/>
        <v/>
      </c>
      <c r="W8" t="str">
        <f t="shared" si="2"/>
        <v/>
      </c>
      <c r="X8" t="str">
        <f t="shared" si="3"/>
        <v/>
      </c>
    </row>
    <row r="9" spans="1:24" ht="409.5" x14ac:dyDescent="0.25">
      <c r="A9" t="s">
        <v>64</v>
      </c>
      <c r="B9" t="s">
        <v>65</v>
      </c>
      <c r="C9" t="s">
        <v>66</v>
      </c>
      <c r="F9" s="2" t="s">
        <v>67</v>
      </c>
      <c r="L9" t="s">
        <v>24</v>
      </c>
      <c r="M9" t="s">
        <v>25</v>
      </c>
      <c r="O9" t="s">
        <v>26</v>
      </c>
      <c r="P9" t="s">
        <v>68</v>
      </c>
      <c r="Q9" t="s">
        <v>28</v>
      </c>
      <c r="R9" s="3">
        <v>41190.533726851849</v>
      </c>
      <c r="T9" t="s">
        <v>69</v>
      </c>
      <c r="U9" t="str">
        <f t="shared" si="0"/>
        <v>["8b3b3cdf-2be6-4f0b-8c86-f6be67e5b002"]</v>
      </c>
      <c r="V9" t="str">
        <f t="shared" si="1"/>
        <v/>
      </c>
      <c r="W9" t="str">
        <f t="shared" si="2"/>
        <v/>
      </c>
      <c r="X9" t="str">
        <f t="shared" si="3"/>
        <v/>
      </c>
    </row>
    <row r="10" spans="1:24" x14ac:dyDescent="0.25">
      <c r="A10" t="s">
        <v>70</v>
      </c>
      <c r="B10" t="s">
        <v>71</v>
      </c>
      <c r="C10" t="s">
        <v>72</v>
      </c>
      <c r="F10" t="s">
        <v>73</v>
      </c>
      <c r="L10" t="s">
        <v>24</v>
      </c>
      <c r="M10" t="s">
        <v>25</v>
      </c>
      <c r="O10" t="s">
        <v>26</v>
      </c>
      <c r="P10" t="s">
        <v>74</v>
      </c>
      <c r="Q10" t="s">
        <v>28</v>
      </c>
      <c r="R10" s="3">
        <v>41190.57309027778</v>
      </c>
      <c r="T10" t="s">
        <v>75</v>
      </c>
      <c r="U10" t="str">
        <f t="shared" si="0"/>
        <v>["690db6b0-a291-412e-97bc-6d200d0a4b26", "5ffe0ecb-4902-41dc-b68b-12bd9caffdcd"]</v>
      </c>
      <c r="V10" t="str">
        <f t="shared" si="1"/>
        <v/>
      </c>
      <c r="W10" t="str">
        <f t="shared" si="2"/>
        <v/>
      </c>
      <c r="X10" t="str">
        <f t="shared" si="3"/>
        <v/>
      </c>
    </row>
    <row r="11" spans="1:24" ht="409.5" x14ac:dyDescent="0.25">
      <c r="A11" t="s">
        <v>76</v>
      </c>
      <c r="B11" t="s">
        <v>77</v>
      </c>
      <c r="C11" t="s">
        <v>78</v>
      </c>
      <c r="F11" s="2" t="s">
        <v>79</v>
      </c>
      <c r="L11" t="s">
        <v>24</v>
      </c>
      <c r="M11" t="s">
        <v>25</v>
      </c>
      <c r="O11" t="s">
        <v>26</v>
      </c>
      <c r="P11" t="s">
        <v>80</v>
      </c>
      <c r="Q11" t="s">
        <v>28</v>
      </c>
      <c r="R11" s="3">
        <v>43885.514074074075</v>
      </c>
      <c r="T11" t="s">
        <v>81</v>
      </c>
      <c r="U11" t="str">
        <f>LEFT(T11, 1024)</f>
        <v>["e3e38c89-8123-49dc-9e51-40e6c21adfca", "6b4b25ac-b2a1-4d31-9d03-9ddcc8f233e4", "3e0f397b-c53c-426e-8869-b17c884b8868", "9543be56-7309-4788-8de2-fbdd5006282b", "92b15030-20af-4059-b96e-145089887daf", "cb196172-5121-4be7-a5fa-fdd5807ceb48", "54036bbe-cd99-496e-a089-442bc1b6308e", "de87d1ea-e67a-4235-8cb9-a2b8ffc2ca1c", "8df6b76b-a1c8-45a4-ab7b-3ff8676e4b04", "d71e2c4b-a5d0-4a62-aa5a-13d2b49032c4", "7e80bc4b-3537-42fd-881f-d9290b34782e", "753dcaef-bb63-4d16-a9af-8ec6d20d5e49", "9d58be92-32eb-43a7-9f38-dff44078864e", "ef47695d-7aa3-41cf-8c4e-d76aa4dae7d5", "99d2218d-c95c-441b-bdb3-cd12d762391d", "3a520b08-7351-479c-9232-628727066f55", "6bd1abfe-3dbf-4e04-b8cc-07114eb8810c", "39fe6e50-6b93-496f-9339-f5534f67584c", "e5f51f9d-9ddb-4fc7-95a8-ef0d9eb2144d", "39e2a593-d508-4f64-8a04-8d6dbf730f9d", "5e84d2ab-b5ca-48c3-b15f-3d71e4bca4ee", "ca51f4d9-c7dd-4eaa-8a22-0654bea8c763", "7fffba00-9b87-4fb4-8c71-68399d2a4291", "f03909b3-a72a-4769-a06e-35141469ff83", "fd56466b-ced8-47ab-8d1a-9ce798948bad", "bcc6419f-3091-48d7-bd8</v>
      </c>
      <c r="V11" t="str">
        <f t="shared" si="1"/>
        <v>b-8e440cc8108f", "1d0df1b7-f98f-47a8-9e38-9b4073f01dcc", "76efecc9-e509-4c6b-849b-f742ed3e258a", "02072598-4a39-4390-a43b-add3514cb903", "41a809d9-0b61-4991-86b8-74dc07973af3", "07ab9a18-820d-4621-bc9a-e87067a4aade", "86dd87bd-7426-40c5-946b-62b2af638aab", "009b7802-0b04-4fee-8dac-3922bd5098ae", "505019f6-4c66-4ce4-9700-a5ed3cf664c3", "fde58043-87ff-44b0-b6b0-3d089adfba4c", "23602b0b-c7b0-4f10-9910-7ee5329433bc", "a2c49245-23b2-46e1-acc7-c5a78913a090", "78b227dc-78f6-4085-b4fb-772e040a14e0"]</v>
      </c>
      <c r="W11" t="str">
        <f t="shared" si="2"/>
        <v/>
      </c>
      <c r="X11" t="str">
        <f t="shared" si="3"/>
        <v/>
      </c>
    </row>
    <row r="12" spans="1:24" ht="409.5" x14ac:dyDescent="0.25">
      <c r="A12" t="s">
        <v>82</v>
      </c>
      <c r="B12" t="s">
        <v>83</v>
      </c>
      <c r="C12" t="s">
        <v>84</v>
      </c>
      <c r="F12" s="2" t="s">
        <v>85</v>
      </c>
      <c r="L12" t="s">
        <v>24</v>
      </c>
      <c r="M12" t="s">
        <v>25</v>
      </c>
      <c r="O12" t="s">
        <v>26</v>
      </c>
      <c r="P12" t="s">
        <v>86</v>
      </c>
      <c r="Q12" t="s">
        <v>28</v>
      </c>
      <c r="R12" s="3">
        <v>41190.542453703703</v>
      </c>
      <c r="T12" t="s">
        <v>87</v>
      </c>
      <c r="U12" t="str">
        <f t="shared" si="0"/>
        <v>["dfa2ff35-d2c4-4196-9989-a1bdbeabbfed"]</v>
      </c>
      <c r="V12" t="str">
        <f t="shared" si="1"/>
        <v/>
      </c>
      <c r="W12" t="str">
        <f t="shared" si="2"/>
        <v/>
      </c>
      <c r="X12" t="str">
        <f t="shared" si="3"/>
        <v/>
      </c>
    </row>
    <row r="13" spans="1:24" ht="409.5" x14ac:dyDescent="0.25">
      <c r="A13" t="s">
        <v>88</v>
      </c>
      <c r="B13" t="s">
        <v>89</v>
      </c>
      <c r="C13" t="s">
        <v>90</v>
      </c>
      <c r="F13" s="2" t="s">
        <v>91</v>
      </c>
      <c r="L13" t="s">
        <v>24</v>
      </c>
      <c r="M13" t="s">
        <v>25</v>
      </c>
      <c r="O13" t="s">
        <v>26</v>
      </c>
      <c r="P13" t="s">
        <v>92</v>
      </c>
      <c r="Q13" t="s">
        <v>28</v>
      </c>
      <c r="R13" s="3">
        <v>41190.546319444446</v>
      </c>
      <c r="T13" t="s">
        <v>93</v>
      </c>
      <c r="U13" t="str">
        <f t="shared" si="0"/>
        <v>["898afe8c-0297-45d6-b4b5-0cb9e632094b"]</v>
      </c>
      <c r="V13" t="str">
        <f t="shared" si="1"/>
        <v/>
      </c>
      <c r="W13" t="str">
        <f t="shared" si="2"/>
        <v/>
      </c>
      <c r="X13" t="str">
        <f t="shared" si="3"/>
        <v/>
      </c>
    </row>
    <row r="14" spans="1:24" x14ac:dyDescent="0.25">
      <c r="A14" t="s">
        <v>94</v>
      </c>
      <c r="B14" t="s">
        <v>95</v>
      </c>
      <c r="C14" t="s">
        <v>96</v>
      </c>
      <c r="F14" t="s">
        <v>97</v>
      </c>
      <c r="L14" t="s">
        <v>24</v>
      </c>
      <c r="M14" t="s">
        <v>25</v>
      </c>
      <c r="O14" t="s">
        <v>26</v>
      </c>
      <c r="P14" t="s">
        <v>98</v>
      </c>
      <c r="Q14" t="s">
        <v>28</v>
      </c>
      <c r="R14" s="3">
        <v>41205.375439814816</v>
      </c>
      <c r="T14" t="s">
        <v>99</v>
      </c>
      <c r="U14" t="str">
        <f t="shared" si="0"/>
        <v>["c91a4635-8b7d-43fe-9b27-d95dec8392a7"]</v>
      </c>
      <c r="V14" t="str">
        <f t="shared" si="1"/>
        <v/>
      </c>
      <c r="W14" t="str">
        <f t="shared" si="2"/>
        <v/>
      </c>
      <c r="X14" t="str">
        <f t="shared" si="3"/>
        <v/>
      </c>
    </row>
    <row r="15" spans="1:24" x14ac:dyDescent="0.25">
      <c r="A15" t="s">
        <v>100</v>
      </c>
      <c r="B15" t="s">
        <v>101</v>
      </c>
      <c r="C15" t="s">
        <v>102</v>
      </c>
      <c r="F15" t="s">
        <v>103</v>
      </c>
      <c r="L15" t="s">
        <v>24</v>
      </c>
      <c r="M15" t="s">
        <v>25</v>
      </c>
      <c r="O15" t="s">
        <v>26</v>
      </c>
      <c r="P15" t="s">
        <v>104</v>
      </c>
      <c r="Q15" t="s">
        <v>28</v>
      </c>
      <c r="R15" s="3">
        <v>41190.575949074075</v>
      </c>
      <c r="T15" t="s">
        <v>105</v>
      </c>
      <c r="U15" t="str">
        <f t="shared" si="0"/>
        <v>["3dc5cf5a-313e-4cd1-af1e-3c4710acae94"]</v>
      </c>
      <c r="V15" t="str">
        <f t="shared" si="1"/>
        <v/>
      </c>
      <c r="W15" t="str">
        <f t="shared" si="2"/>
        <v/>
      </c>
      <c r="X15" t="str">
        <f t="shared" si="3"/>
        <v/>
      </c>
    </row>
    <row r="16" spans="1:24" ht="409.5" x14ac:dyDescent="0.25">
      <c r="A16" t="s">
        <v>106</v>
      </c>
      <c r="B16" t="s">
        <v>107</v>
      </c>
      <c r="C16" t="s">
        <v>108</v>
      </c>
      <c r="F16" s="2" t="s">
        <v>109</v>
      </c>
      <c r="L16" t="s">
        <v>24</v>
      </c>
      <c r="M16" t="s">
        <v>25</v>
      </c>
      <c r="O16" t="s">
        <v>26</v>
      </c>
      <c r="P16" t="s">
        <v>110</v>
      </c>
      <c r="Q16" t="s">
        <v>28</v>
      </c>
      <c r="R16" s="3">
        <v>41235.517627314817</v>
      </c>
      <c r="T16" t="s">
        <v>111</v>
      </c>
      <c r="U16" t="str">
        <f t="shared" si="0"/>
        <v>["6f412521-2e9b-44b1-a3e4-8f1358caef63"]</v>
      </c>
      <c r="V16" t="str">
        <f t="shared" si="1"/>
        <v/>
      </c>
      <c r="W16" t="str">
        <f t="shared" si="2"/>
        <v/>
      </c>
      <c r="X16" t="str">
        <f t="shared" si="3"/>
        <v/>
      </c>
    </row>
    <row r="17" spans="1:24" x14ac:dyDescent="0.25">
      <c r="A17" t="s">
        <v>112</v>
      </c>
      <c r="B17" t="s">
        <v>113</v>
      </c>
      <c r="C17" t="s">
        <v>114</v>
      </c>
      <c r="F17" t="s">
        <v>115</v>
      </c>
      <c r="L17" t="s">
        <v>24</v>
      </c>
      <c r="M17" t="s">
        <v>25</v>
      </c>
      <c r="O17" t="s">
        <v>26</v>
      </c>
      <c r="P17" t="s">
        <v>116</v>
      </c>
      <c r="Q17" t="s">
        <v>28</v>
      </c>
      <c r="R17" s="3">
        <v>41221.496087962965</v>
      </c>
      <c r="T17" t="s">
        <v>117</v>
      </c>
      <c r="U17" t="str">
        <f t="shared" si="0"/>
        <v>["be2e0197-57b8-4fcf-a144-cb33f7466f3a"]</v>
      </c>
      <c r="V17" t="str">
        <f t="shared" si="1"/>
        <v/>
      </c>
      <c r="W17" t="str">
        <f t="shared" si="2"/>
        <v/>
      </c>
      <c r="X17" t="str">
        <f t="shared" si="3"/>
        <v/>
      </c>
    </row>
    <row r="18" spans="1:24" x14ac:dyDescent="0.25">
      <c r="A18" t="s">
        <v>118</v>
      </c>
      <c r="B18" t="s">
        <v>119</v>
      </c>
      <c r="C18" t="s">
        <v>120</v>
      </c>
      <c r="F18" t="s">
        <v>121</v>
      </c>
      <c r="L18" t="s">
        <v>24</v>
      </c>
      <c r="M18" t="s">
        <v>25</v>
      </c>
      <c r="O18" t="s">
        <v>26</v>
      </c>
      <c r="P18" t="s">
        <v>122</v>
      </c>
      <c r="Q18" t="s">
        <v>28</v>
      </c>
      <c r="R18" s="3">
        <v>41208.870057870372</v>
      </c>
      <c r="T18" t="s">
        <v>123</v>
      </c>
      <c r="U18" t="str">
        <f t="shared" si="0"/>
        <v>["523ba2e4-8c55-4dde-8acf-39e3621811b0"]</v>
      </c>
      <c r="V18" t="str">
        <f t="shared" si="1"/>
        <v/>
      </c>
      <c r="W18" t="str">
        <f t="shared" si="2"/>
        <v/>
      </c>
      <c r="X18" t="str">
        <f t="shared" si="3"/>
        <v/>
      </c>
    </row>
    <row r="19" spans="1:24" ht="409.5" x14ac:dyDescent="0.25">
      <c r="A19" t="s">
        <v>124</v>
      </c>
      <c r="B19" t="s">
        <v>125</v>
      </c>
      <c r="C19" t="s">
        <v>126</v>
      </c>
      <c r="F19" s="2" t="s">
        <v>127</v>
      </c>
      <c r="L19" t="s">
        <v>24</v>
      </c>
      <c r="M19" t="s">
        <v>25</v>
      </c>
      <c r="O19" t="s">
        <v>26</v>
      </c>
      <c r="P19" t="s">
        <v>128</v>
      </c>
      <c r="Q19" t="s">
        <v>28</v>
      </c>
      <c r="R19" s="3">
        <v>41190.565567129626</v>
      </c>
      <c r="T19" t="s">
        <v>129</v>
      </c>
      <c r="U19" t="str">
        <f t="shared" si="0"/>
        <v>["0adc90c9-ac6b-47ef-aa83-b7780594720c", "02ad6e25-2698-405f-a37b-99745b1ac69c", "9ee0d2d2-6631-4d5e-a33a-ad0cb9874566"]</v>
      </c>
      <c r="V19" t="str">
        <f t="shared" si="1"/>
        <v/>
      </c>
      <c r="W19" t="str">
        <f t="shared" si="2"/>
        <v/>
      </c>
      <c r="X19" t="str">
        <f t="shared" si="3"/>
        <v/>
      </c>
    </row>
    <row r="20" spans="1:24" ht="409.5" x14ac:dyDescent="0.25">
      <c r="A20" t="s">
        <v>130</v>
      </c>
      <c r="B20" t="s">
        <v>131</v>
      </c>
      <c r="C20" t="s">
        <v>132</v>
      </c>
      <c r="F20" s="2" t="s">
        <v>133</v>
      </c>
      <c r="L20" t="s">
        <v>24</v>
      </c>
      <c r="M20" t="s">
        <v>25</v>
      </c>
      <c r="O20" t="s">
        <v>26</v>
      </c>
      <c r="P20" t="s">
        <v>134</v>
      </c>
      <c r="Q20" t="s">
        <v>28</v>
      </c>
      <c r="R20" s="3">
        <v>41190.57099537037</v>
      </c>
      <c r="T20" t="s">
        <v>135</v>
      </c>
      <c r="U20" t="str">
        <f t="shared" si="0"/>
        <v>["332be1f6-5791-43ae-9e37-90cc48e75d24"]</v>
      </c>
      <c r="V20" t="str">
        <f t="shared" si="1"/>
        <v/>
      </c>
      <c r="W20" t="str">
        <f t="shared" si="2"/>
        <v/>
      </c>
      <c r="X20" t="str">
        <f t="shared" si="3"/>
        <v/>
      </c>
    </row>
    <row r="21" spans="1:24" ht="409.5" x14ac:dyDescent="0.25">
      <c r="A21" t="s">
        <v>136</v>
      </c>
      <c r="B21" t="s">
        <v>137</v>
      </c>
      <c r="C21" t="s">
        <v>138</v>
      </c>
      <c r="F21" s="2" t="s">
        <v>139</v>
      </c>
      <c r="L21" t="s">
        <v>24</v>
      </c>
      <c r="M21" t="s">
        <v>25</v>
      </c>
      <c r="O21" t="s">
        <v>26</v>
      </c>
      <c r="P21" t="s">
        <v>140</v>
      </c>
      <c r="Q21" t="s">
        <v>28</v>
      </c>
      <c r="R21" s="3">
        <v>41190.572071759256</v>
      </c>
      <c r="T21" t="s">
        <v>141</v>
      </c>
      <c r="U21" t="str">
        <f t="shared" si="0"/>
        <v>["332be1f6-5791-43ae-9e37-90cc48e75d24", "146384fc-3f64-4482-a78a-2f082411a27d", "aac2629e-495d-4468-9c8b-cd9649bd7b5d", "2c54f4d6-5712-4e5a-a025-b7f7a396c39b"]</v>
      </c>
      <c r="V21" t="str">
        <f t="shared" si="1"/>
        <v/>
      </c>
      <c r="W21" t="str">
        <f t="shared" si="2"/>
        <v/>
      </c>
      <c r="X21" t="str">
        <f t="shared" si="3"/>
        <v/>
      </c>
    </row>
    <row r="22" spans="1:24" x14ac:dyDescent="0.25">
      <c r="A22" t="s">
        <v>142</v>
      </c>
      <c r="B22" t="s">
        <v>143</v>
      </c>
      <c r="C22" t="s">
        <v>144</v>
      </c>
      <c r="F22" t="s">
        <v>145</v>
      </c>
      <c r="L22" t="s">
        <v>24</v>
      </c>
      <c r="M22" t="s">
        <v>25</v>
      </c>
      <c r="O22" t="s">
        <v>26</v>
      </c>
      <c r="P22" t="s">
        <v>146</v>
      </c>
      <c r="Q22" t="s">
        <v>28</v>
      </c>
      <c r="R22" s="3">
        <v>41190.577025462961</v>
      </c>
      <c r="T22" t="s">
        <v>147</v>
      </c>
      <c r="U22" t="str">
        <f t="shared" si="0"/>
        <v>["5160611a-b665-461b-ae93-e5e6ec342166", "48b40fff-ccaa-4708-8db3-bdc3a791bfca"]</v>
      </c>
      <c r="V22" t="str">
        <f t="shared" si="1"/>
        <v/>
      </c>
      <c r="W22" t="str">
        <f t="shared" si="2"/>
        <v/>
      </c>
      <c r="X22" t="str">
        <f t="shared" si="3"/>
        <v/>
      </c>
    </row>
    <row r="23" spans="1:24" ht="409.5" x14ac:dyDescent="0.25">
      <c r="A23" t="s">
        <v>148</v>
      </c>
      <c r="B23" t="s">
        <v>149</v>
      </c>
      <c r="C23" t="s">
        <v>150</v>
      </c>
      <c r="F23" s="2" t="s">
        <v>151</v>
      </c>
      <c r="L23" t="s">
        <v>24</v>
      </c>
      <c r="M23" t="s">
        <v>25</v>
      </c>
      <c r="O23" t="s">
        <v>26</v>
      </c>
      <c r="P23" t="s">
        <v>152</v>
      </c>
      <c r="Q23" t="s">
        <v>28</v>
      </c>
      <c r="R23" s="3">
        <v>41190.580428240741</v>
      </c>
      <c r="T23" t="s">
        <v>153</v>
      </c>
      <c r="U23" t="str">
        <f t="shared" si="0"/>
        <v>["d25e61cd-2b00-4480-bfcd-64761d7b272e"]</v>
      </c>
      <c r="V23" t="str">
        <f t="shared" si="1"/>
        <v/>
      </c>
      <c r="W23" t="str">
        <f t="shared" si="2"/>
        <v/>
      </c>
      <c r="X23" t="str">
        <f t="shared" si="3"/>
        <v/>
      </c>
    </row>
    <row r="24" spans="1:24" ht="409.5" x14ac:dyDescent="0.25">
      <c r="A24" t="s">
        <v>154</v>
      </c>
      <c r="B24" t="s">
        <v>155</v>
      </c>
      <c r="C24" t="s">
        <v>156</v>
      </c>
      <c r="F24" s="2" t="s">
        <v>157</v>
      </c>
      <c r="L24" t="s">
        <v>24</v>
      </c>
      <c r="M24" t="s">
        <v>25</v>
      </c>
      <c r="O24" t="s">
        <v>26</v>
      </c>
      <c r="P24" t="s">
        <v>158</v>
      </c>
      <c r="Q24" t="s">
        <v>28</v>
      </c>
      <c r="R24" s="3">
        <v>41190.582708333335</v>
      </c>
      <c r="T24" t="s">
        <v>159</v>
      </c>
      <c r="U24" t="str">
        <f t="shared" si="0"/>
        <v>["98d14207-6c69-492b-8627-6c329f4a0525", "f9426236-6f1a-4b31-99ab-3dfd71e4c3e9"]</v>
      </c>
      <c r="V24" t="str">
        <f t="shared" si="1"/>
        <v/>
      </c>
      <c r="W24" t="str">
        <f t="shared" si="2"/>
        <v/>
      </c>
      <c r="X24" t="str">
        <f t="shared" si="3"/>
        <v/>
      </c>
    </row>
    <row r="25" spans="1:24" ht="409.5" x14ac:dyDescent="0.25">
      <c r="A25" s="4" t="s">
        <v>160</v>
      </c>
      <c r="B25" t="s">
        <v>161</v>
      </c>
      <c r="C25" t="s">
        <v>162</v>
      </c>
      <c r="F25" s="2" t="s">
        <v>163</v>
      </c>
      <c r="L25" t="s">
        <v>24</v>
      </c>
      <c r="M25" t="s">
        <v>25</v>
      </c>
      <c r="O25" t="s">
        <v>26</v>
      </c>
      <c r="P25" t="s">
        <v>164</v>
      </c>
      <c r="Q25" t="s">
        <v>28</v>
      </c>
      <c r="R25" s="3">
        <v>41190.585405092592</v>
      </c>
      <c r="T25" t="s">
        <v>159</v>
      </c>
      <c r="U25" t="str">
        <f t="shared" si="0"/>
        <v>["98d14207-6c69-492b-8627-6c329f4a0525", "f9426236-6f1a-4b31-99ab-3dfd71e4c3e9"]</v>
      </c>
      <c r="V25" t="str">
        <f t="shared" si="1"/>
        <v/>
      </c>
      <c r="W25" t="str">
        <f t="shared" si="2"/>
        <v/>
      </c>
      <c r="X25" t="str">
        <f t="shared" si="3"/>
        <v/>
      </c>
    </row>
    <row r="26" spans="1:24" ht="409.5" x14ac:dyDescent="0.25">
      <c r="A26" t="s">
        <v>165</v>
      </c>
      <c r="B26" t="s">
        <v>166</v>
      </c>
      <c r="C26" t="s">
        <v>167</v>
      </c>
      <c r="F26" s="2" t="s">
        <v>168</v>
      </c>
      <c r="L26" t="s">
        <v>24</v>
      </c>
      <c r="M26" t="s">
        <v>25</v>
      </c>
      <c r="O26" t="s">
        <v>26</v>
      </c>
      <c r="P26" t="s">
        <v>169</v>
      </c>
      <c r="Q26" t="s">
        <v>28</v>
      </c>
      <c r="R26" s="3">
        <v>41205.385567129626</v>
      </c>
      <c r="T26" t="s">
        <v>170</v>
      </c>
      <c r="U26" t="str">
        <f t="shared" si="0"/>
        <v>["6858b208-62bc-424e-9d7b-c89b74d3d3e3", "aa8876c7-9711-4969-b428-34400f2d0dbe"]</v>
      </c>
      <c r="V26" t="str">
        <f t="shared" si="1"/>
        <v/>
      </c>
      <c r="W26" t="str">
        <f t="shared" si="2"/>
        <v/>
      </c>
      <c r="X26" t="str">
        <f t="shared" si="3"/>
        <v/>
      </c>
    </row>
    <row r="27" spans="1:24" ht="409.5" x14ac:dyDescent="0.25">
      <c r="A27" t="s">
        <v>171</v>
      </c>
      <c r="B27" t="s">
        <v>172</v>
      </c>
      <c r="C27" t="s">
        <v>173</v>
      </c>
      <c r="F27" s="2" t="s">
        <v>174</v>
      </c>
      <c r="L27" t="s">
        <v>24</v>
      </c>
      <c r="M27" t="s">
        <v>25</v>
      </c>
      <c r="O27" t="s">
        <v>26</v>
      </c>
      <c r="P27" t="s">
        <v>175</v>
      </c>
      <c r="Q27" t="s">
        <v>28</v>
      </c>
      <c r="R27" s="3">
        <v>41190.551215277781</v>
      </c>
      <c r="T27" t="s">
        <v>87</v>
      </c>
      <c r="U27" t="str">
        <f t="shared" si="0"/>
        <v>["dfa2ff35-d2c4-4196-9989-a1bdbeabbfed"]</v>
      </c>
      <c r="V27" t="str">
        <f t="shared" si="1"/>
        <v/>
      </c>
      <c r="W27" t="str">
        <f t="shared" si="2"/>
        <v/>
      </c>
      <c r="X27" t="str">
        <f t="shared" si="3"/>
        <v/>
      </c>
    </row>
    <row r="28" spans="1:24" ht="315" x14ac:dyDescent="0.25">
      <c r="A28" t="s">
        <v>176</v>
      </c>
      <c r="B28" t="s">
        <v>177</v>
      </c>
      <c r="C28" t="s">
        <v>178</v>
      </c>
      <c r="F28" s="2" t="s">
        <v>179</v>
      </c>
      <c r="L28" t="s">
        <v>24</v>
      </c>
      <c r="M28" t="s">
        <v>25</v>
      </c>
      <c r="O28" t="s">
        <v>26</v>
      </c>
      <c r="P28" s="3">
        <v>45454.260081018518</v>
      </c>
      <c r="Q28" t="s">
        <v>28</v>
      </c>
      <c r="R28" s="3">
        <v>41212.422476851854</v>
      </c>
      <c r="T28" t="s">
        <v>69</v>
      </c>
      <c r="U28" t="str">
        <f t="shared" si="0"/>
        <v>["8b3b3cdf-2be6-4f0b-8c86-f6be67e5b002"]</v>
      </c>
      <c r="V28" t="str">
        <f t="shared" si="1"/>
        <v/>
      </c>
      <c r="W28" t="str">
        <f t="shared" si="2"/>
        <v/>
      </c>
      <c r="X28" t="str">
        <f t="shared" si="3"/>
        <v/>
      </c>
    </row>
    <row r="29" spans="1:24" ht="409.5" x14ac:dyDescent="0.25">
      <c r="A29" t="s">
        <v>180</v>
      </c>
      <c r="B29" t="s">
        <v>181</v>
      </c>
      <c r="C29" t="s">
        <v>182</v>
      </c>
      <c r="F29" s="2" t="s">
        <v>183</v>
      </c>
      <c r="L29" t="s">
        <v>24</v>
      </c>
      <c r="M29" t="s">
        <v>25</v>
      </c>
      <c r="O29" t="s">
        <v>26</v>
      </c>
      <c r="P29" t="s">
        <v>184</v>
      </c>
      <c r="Q29" t="s">
        <v>28</v>
      </c>
      <c r="R29" s="3">
        <v>41190.586331018516</v>
      </c>
      <c r="T29" t="s">
        <v>29</v>
      </c>
      <c r="U29" t="str">
        <f t="shared" si="0"/>
        <v>[]</v>
      </c>
      <c r="V29" t="str">
        <f t="shared" si="1"/>
        <v/>
      </c>
      <c r="W29" t="str">
        <f t="shared" si="2"/>
        <v/>
      </c>
      <c r="X29" t="str">
        <f t="shared" si="3"/>
        <v/>
      </c>
    </row>
    <row r="30" spans="1:24" x14ac:dyDescent="0.25">
      <c r="A30" t="s">
        <v>185</v>
      </c>
      <c r="B30" t="s">
        <v>186</v>
      </c>
      <c r="C30" t="s">
        <v>187</v>
      </c>
      <c r="F30" t="s">
        <v>188</v>
      </c>
      <c r="L30" t="s">
        <v>24</v>
      </c>
      <c r="M30" t="s">
        <v>25</v>
      </c>
      <c r="O30" t="s">
        <v>26</v>
      </c>
      <c r="P30" t="s">
        <v>189</v>
      </c>
      <c r="Q30" t="s">
        <v>28</v>
      </c>
      <c r="R30" s="3">
        <v>41192.739166666666</v>
      </c>
      <c r="T30" t="s">
        <v>29</v>
      </c>
      <c r="U30" t="str">
        <f t="shared" si="0"/>
        <v>[]</v>
      </c>
      <c r="V30" t="str">
        <f t="shared" si="1"/>
        <v/>
      </c>
      <c r="W30" t="str">
        <f t="shared" si="2"/>
        <v/>
      </c>
      <c r="X30" t="str">
        <f t="shared" si="3"/>
        <v/>
      </c>
    </row>
    <row r="31" spans="1:24" x14ac:dyDescent="0.25">
      <c r="A31" t="s">
        <v>190</v>
      </c>
      <c r="B31" t="s">
        <v>191</v>
      </c>
      <c r="C31" t="s">
        <v>192</v>
      </c>
      <c r="F31" t="s">
        <v>193</v>
      </c>
      <c r="L31" t="s">
        <v>24</v>
      </c>
      <c r="M31" t="s">
        <v>25</v>
      </c>
      <c r="O31" t="s">
        <v>26</v>
      </c>
      <c r="P31" t="s">
        <v>194</v>
      </c>
      <c r="Q31" t="s">
        <v>28</v>
      </c>
      <c r="R31" s="3">
        <v>41340.482118055559</v>
      </c>
      <c r="T31" t="s">
        <v>195</v>
      </c>
      <c r="U31" t="str">
        <f t="shared" si="0"/>
        <v>["7861cd5d-e5bf-4d31-9c17-92f348447db2"]</v>
      </c>
      <c r="V31" t="str">
        <f t="shared" si="1"/>
        <v/>
      </c>
      <c r="W31" t="str">
        <f t="shared" si="2"/>
        <v/>
      </c>
      <c r="X31" t="str">
        <f t="shared" si="3"/>
        <v/>
      </c>
    </row>
    <row r="32" spans="1:24" x14ac:dyDescent="0.25">
      <c r="A32" t="s">
        <v>196</v>
      </c>
      <c r="B32" t="s">
        <v>197</v>
      </c>
      <c r="C32" t="s">
        <v>198</v>
      </c>
      <c r="F32" t="s">
        <v>199</v>
      </c>
      <c r="L32" t="s">
        <v>24</v>
      </c>
      <c r="M32" t="s">
        <v>25</v>
      </c>
      <c r="O32" t="s">
        <v>26</v>
      </c>
      <c r="P32" t="s">
        <v>200</v>
      </c>
      <c r="Q32" t="s">
        <v>28</v>
      </c>
      <c r="R32" s="3">
        <v>41235.523819444446</v>
      </c>
      <c r="T32" t="s">
        <v>201</v>
      </c>
      <c r="U32" t="str">
        <f t="shared" si="0"/>
        <v>["87fc82a0-0042-49c8-b6f9-2602cd3dc17a"]</v>
      </c>
      <c r="V32" t="str">
        <f t="shared" si="1"/>
        <v/>
      </c>
      <c r="W32" t="str">
        <f t="shared" si="2"/>
        <v/>
      </c>
      <c r="X32" t="str">
        <f t="shared" si="3"/>
        <v/>
      </c>
    </row>
    <row r="33" spans="1:24" ht="409.5" x14ac:dyDescent="0.25">
      <c r="A33" t="s">
        <v>202</v>
      </c>
      <c r="B33" t="s">
        <v>203</v>
      </c>
      <c r="C33" t="s">
        <v>204</v>
      </c>
      <c r="F33" s="2" t="s">
        <v>205</v>
      </c>
      <c r="L33" t="s">
        <v>24</v>
      </c>
      <c r="M33" t="s">
        <v>25</v>
      </c>
      <c r="O33" t="s">
        <v>26</v>
      </c>
      <c r="P33" t="s">
        <v>206</v>
      </c>
      <c r="Q33" t="s">
        <v>28</v>
      </c>
      <c r="R33" s="3">
        <v>41192.757164351853</v>
      </c>
      <c r="T33" t="s">
        <v>29</v>
      </c>
      <c r="U33" t="str">
        <f t="shared" si="0"/>
        <v>[]</v>
      </c>
      <c r="V33" t="str">
        <f t="shared" si="1"/>
        <v/>
      </c>
      <c r="W33" t="str">
        <f t="shared" si="2"/>
        <v/>
      </c>
      <c r="X33" t="str">
        <f t="shared" si="3"/>
        <v/>
      </c>
    </row>
    <row r="34" spans="1:24" ht="409.5" x14ac:dyDescent="0.25">
      <c r="A34" t="s">
        <v>207</v>
      </c>
      <c r="B34" t="s">
        <v>208</v>
      </c>
      <c r="C34" t="s">
        <v>209</v>
      </c>
      <c r="F34" s="2" t="s">
        <v>210</v>
      </c>
      <c r="L34" t="s">
        <v>24</v>
      </c>
      <c r="M34" t="s">
        <v>25</v>
      </c>
      <c r="O34" t="s">
        <v>26</v>
      </c>
      <c r="P34" t="s">
        <v>211</v>
      </c>
      <c r="Q34" t="s">
        <v>28</v>
      </c>
      <c r="R34" s="3">
        <v>41218.408182870371</v>
      </c>
      <c r="T34" t="s">
        <v>212</v>
      </c>
      <c r="U34" t="str">
        <f t="shared" si="0"/>
        <v>["2ed52078-7e55-40ea-8036-0d89118a06f4", "699a5a9a-348c-4a46-b99e-a23b59f27721", "523ba2e4-8c55-4dde-8acf-39e3621811b0", "97ef14eb-f280-48a7-96c0-df03859b06c2", "146384fc-3f64-4482-a78a-2f082411a27d", "c5cf2502-7572-4fd1-a836-48b335a2d47d"]</v>
      </c>
      <c r="V34" t="str">
        <f t="shared" si="1"/>
        <v/>
      </c>
      <c r="W34" t="str">
        <f t="shared" si="2"/>
        <v/>
      </c>
      <c r="X34" t="str">
        <f t="shared" si="3"/>
        <v/>
      </c>
    </row>
    <row r="35" spans="1:24" ht="409.5" x14ac:dyDescent="0.25">
      <c r="A35" t="s">
        <v>213</v>
      </c>
      <c r="B35" t="s">
        <v>214</v>
      </c>
      <c r="C35" t="s">
        <v>215</v>
      </c>
      <c r="F35" s="2" t="s">
        <v>216</v>
      </c>
      <c r="L35" t="s">
        <v>24</v>
      </c>
      <c r="M35" t="s">
        <v>25</v>
      </c>
      <c r="O35" t="s">
        <v>26</v>
      </c>
      <c r="P35" t="s">
        <v>217</v>
      </c>
      <c r="Q35" t="s">
        <v>28</v>
      </c>
      <c r="R35" s="3">
        <v>41199.707511574074</v>
      </c>
      <c r="T35" t="s">
        <v>218</v>
      </c>
      <c r="U35" t="str">
        <f t="shared" si="0"/>
        <v>["4315e096-f51e-4b56-8235-57be9789a62c", "898afe8c-0297-45d6-b4b5-0cb9e632094b", "be2e0197-57b8-4fcf-a144-cb33f7466f3a", "21fca925-12ac-4215-ba1a-a9c73cb3b082", "523ba2e4-8c55-4dde-8acf-39e3621811b0"]</v>
      </c>
      <c r="V35" t="str">
        <f t="shared" si="1"/>
        <v/>
      </c>
      <c r="W35" t="str">
        <f t="shared" si="2"/>
        <v/>
      </c>
      <c r="X35" t="str">
        <f t="shared" si="3"/>
        <v/>
      </c>
    </row>
    <row r="36" spans="1:24" x14ac:dyDescent="0.25">
      <c r="A36" t="s">
        <v>219</v>
      </c>
      <c r="B36" t="s">
        <v>220</v>
      </c>
      <c r="C36" t="s">
        <v>221</v>
      </c>
      <c r="F36" t="s">
        <v>222</v>
      </c>
      <c r="L36" t="s">
        <v>24</v>
      </c>
      <c r="M36" t="s">
        <v>25</v>
      </c>
      <c r="O36" t="s">
        <v>26</v>
      </c>
      <c r="P36" t="s">
        <v>223</v>
      </c>
      <c r="Q36" t="s">
        <v>28</v>
      </c>
      <c r="R36" s="3">
        <v>41204.652430555558</v>
      </c>
      <c r="T36" t="s">
        <v>224</v>
      </c>
      <c r="U36" t="str">
        <f t="shared" si="0"/>
        <v>["6858b208-62bc-424e-9d7b-c89b74d3d3e3"]</v>
      </c>
      <c r="V36" t="str">
        <f t="shared" si="1"/>
        <v/>
      </c>
      <c r="W36" t="str">
        <f t="shared" si="2"/>
        <v/>
      </c>
      <c r="X36" t="str">
        <f t="shared" si="3"/>
        <v/>
      </c>
    </row>
    <row r="37" spans="1:24" ht="409.5" x14ac:dyDescent="0.25">
      <c r="A37" t="s">
        <v>225</v>
      </c>
      <c r="B37" t="s">
        <v>226</v>
      </c>
      <c r="C37" t="s">
        <v>227</v>
      </c>
      <c r="F37" s="2" t="s">
        <v>228</v>
      </c>
      <c r="L37" t="s">
        <v>24</v>
      </c>
      <c r="M37" t="s">
        <v>25</v>
      </c>
      <c r="O37" t="s">
        <v>26</v>
      </c>
      <c r="P37" t="s">
        <v>229</v>
      </c>
      <c r="Q37" t="s">
        <v>28</v>
      </c>
      <c r="R37" s="3">
        <v>41207.555023148147</v>
      </c>
      <c r="T37" t="s">
        <v>230</v>
      </c>
      <c r="U37" t="str">
        <f t="shared" si="0"/>
        <v>["809eeaf2-c9a6-47cb-a00a-2433222eb132", "53b70911-67ee-459b-a573-130272275a91", "d780bf4f-063e-4c21-bb28-62c8d1d79cdc", "d61ed212-9915-4018-a350-caecfda3e0c6", "b2068d46-de7f-4a22-a563-4dea59b1e6f2", "b77d0b46-306c-46da-b26d-6e4dd718fde7"]</v>
      </c>
      <c r="V37" t="str">
        <f t="shared" si="1"/>
        <v/>
      </c>
      <c r="W37" t="str">
        <f t="shared" si="2"/>
        <v/>
      </c>
      <c r="X37" t="str">
        <f t="shared" si="3"/>
        <v/>
      </c>
    </row>
    <row r="38" spans="1:24" x14ac:dyDescent="0.25">
      <c r="A38" t="s">
        <v>231</v>
      </c>
      <c r="B38" t="s">
        <v>232</v>
      </c>
      <c r="C38" t="s">
        <v>233</v>
      </c>
      <c r="F38" t="s">
        <v>234</v>
      </c>
      <c r="L38" t="s">
        <v>24</v>
      </c>
      <c r="M38" t="s">
        <v>25</v>
      </c>
      <c r="O38" t="s">
        <v>26</v>
      </c>
      <c r="P38" t="s">
        <v>235</v>
      </c>
      <c r="Q38" t="s">
        <v>28</v>
      </c>
      <c r="R38" s="3">
        <v>41232.373761574076</v>
      </c>
      <c r="T38" t="s">
        <v>69</v>
      </c>
      <c r="U38" t="str">
        <f t="shared" si="0"/>
        <v>["8b3b3cdf-2be6-4f0b-8c86-f6be67e5b002"]</v>
      </c>
      <c r="V38" t="str">
        <f t="shared" si="1"/>
        <v/>
      </c>
      <c r="W38" t="str">
        <f t="shared" si="2"/>
        <v/>
      </c>
      <c r="X38" t="str">
        <f t="shared" si="3"/>
        <v/>
      </c>
    </row>
    <row r="39" spans="1:24" ht="409.5" x14ac:dyDescent="0.25">
      <c r="A39" t="s">
        <v>236</v>
      </c>
      <c r="B39" t="s">
        <v>237</v>
      </c>
      <c r="C39" t="s">
        <v>238</v>
      </c>
      <c r="F39" s="2" t="s">
        <v>239</v>
      </c>
      <c r="L39" t="s">
        <v>24</v>
      </c>
      <c r="M39" t="s">
        <v>25</v>
      </c>
      <c r="O39" t="s">
        <v>26</v>
      </c>
      <c r="P39" t="s">
        <v>240</v>
      </c>
      <c r="Q39" t="s">
        <v>28</v>
      </c>
      <c r="R39" s="3">
        <v>41282.372199074074</v>
      </c>
      <c r="T39" t="s">
        <v>241</v>
      </c>
      <c r="U39" t="str">
        <f t="shared" si="0"/>
        <v>["6858b208-62bc-424e-9d7b-c89b74d3d3e3", "aa8876c7-9711-4969-b428-34400f2d0dbe", "8a528b7f-98af-4893-af73-5d5f26d3aa7c", "4315e096-f51e-4b56-8235-57be9789a62c"]</v>
      </c>
      <c r="V39" t="str">
        <f t="shared" si="1"/>
        <v/>
      </c>
      <c r="W39" t="str">
        <f t="shared" si="2"/>
        <v/>
      </c>
      <c r="X39" t="str">
        <f t="shared" si="3"/>
        <v/>
      </c>
    </row>
    <row r="40" spans="1:24" x14ac:dyDescent="0.25">
      <c r="A40" t="s">
        <v>242</v>
      </c>
      <c r="B40" t="s">
        <v>243</v>
      </c>
      <c r="C40" t="s">
        <v>244</v>
      </c>
      <c r="F40" t="s">
        <v>245</v>
      </c>
      <c r="L40" t="s">
        <v>24</v>
      </c>
      <c r="M40" t="s">
        <v>25</v>
      </c>
      <c r="O40" t="s">
        <v>26</v>
      </c>
      <c r="P40" t="s">
        <v>246</v>
      </c>
      <c r="Q40" t="s">
        <v>28</v>
      </c>
      <c r="R40" s="3">
        <v>41208.873182870368</v>
      </c>
      <c r="T40" t="s">
        <v>117</v>
      </c>
      <c r="U40" t="str">
        <f t="shared" si="0"/>
        <v>["be2e0197-57b8-4fcf-a144-cb33f7466f3a"]</v>
      </c>
      <c r="V40" t="str">
        <f t="shared" si="1"/>
        <v/>
      </c>
      <c r="W40" t="str">
        <f t="shared" si="2"/>
        <v/>
      </c>
      <c r="X40" t="str">
        <f t="shared" si="3"/>
        <v/>
      </c>
    </row>
    <row r="41" spans="1:24" x14ac:dyDescent="0.25">
      <c r="A41" t="s">
        <v>247</v>
      </c>
      <c r="B41" t="s">
        <v>248</v>
      </c>
      <c r="C41" t="s">
        <v>249</v>
      </c>
      <c r="F41" t="s">
        <v>250</v>
      </c>
      <c r="L41" t="s">
        <v>24</v>
      </c>
      <c r="M41" t="s">
        <v>25</v>
      </c>
      <c r="O41" t="s">
        <v>26</v>
      </c>
      <c r="P41" t="s">
        <v>251</v>
      </c>
      <c r="Q41" t="s">
        <v>28</v>
      </c>
      <c r="R41" s="3">
        <v>41208.871354166666</v>
      </c>
      <c r="T41" t="s">
        <v>252</v>
      </c>
      <c r="U41" t="str">
        <f t="shared" si="0"/>
        <v>["8e454ce2-435e-4352-962b-1bf4e4303301"]</v>
      </c>
      <c r="V41" t="str">
        <f t="shared" si="1"/>
        <v/>
      </c>
      <c r="W41" t="str">
        <f t="shared" si="2"/>
        <v/>
      </c>
      <c r="X41" t="str">
        <f t="shared" si="3"/>
        <v/>
      </c>
    </row>
    <row r="42" spans="1:24" ht="409.5" x14ac:dyDescent="0.25">
      <c r="A42" t="s">
        <v>253</v>
      </c>
      <c r="B42" t="s">
        <v>254</v>
      </c>
      <c r="C42" t="s">
        <v>255</v>
      </c>
      <c r="F42" s="2" t="s">
        <v>256</v>
      </c>
      <c r="L42" t="s">
        <v>24</v>
      </c>
      <c r="M42" t="s">
        <v>25</v>
      </c>
      <c r="O42" t="s">
        <v>26</v>
      </c>
      <c r="P42" t="s">
        <v>257</v>
      </c>
      <c r="Q42" t="s">
        <v>28</v>
      </c>
      <c r="R42" s="3">
        <v>41295.656053240738</v>
      </c>
      <c r="T42" t="s">
        <v>258</v>
      </c>
      <c r="U42" t="str">
        <f t="shared" si="0"/>
        <v>["21fca925-12ac-4215-ba1a-a9c73cb3b082", "8d482810-26da-4bbc-8599-6b1fd1ab8743", "c1ba372b-dba2-4bce-b72e-b5c832eaaf44", "298e6b5a-21a8-4d56-9484-1bac58c94a26", "be2e0197-57b8-4fcf-a144-cb33f7466f3a", "71084c02-973d-4544-b804-7ed82bd53027", "898afe8c-0297-45d6-b4b5-0cb9e632094b", "5d642d09-8e03-4200-a79b-2a397a6d5d51", "87f121a7-eef0-4be9-9372-a5efe5b4d375", "523ba2e4-8c55-4dde-8acf-39e3621811b0", "6f412521-2e9b-44b1-a3e4-8f1358caef63", "826d798e-01d1-48d3-973c-e0e466a63ca8", "2adc5a86-faa3-4b63-acff-a66128b811b7", "7c6e9dbf-487b-4146-a379-19e46642c392", "627a9226-a907-4018-89e3-878002a9d22b", "2d0e9a21-fa5f-441d-948a-fe97a453a827", "b01585af-110f-4f87-9bf1-06805605926c", "146384fc-3f64-4482-a78a-2f082411a27d"]</v>
      </c>
      <c r="V42" t="str">
        <f t="shared" si="1"/>
        <v/>
      </c>
      <c r="W42" t="str">
        <f t="shared" si="2"/>
        <v/>
      </c>
      <c r="X42" t="str">
        <f t="shared" si="3"/>
        <v/>
      </c>
    </row>
    <row r="43" spans="1:24" x14ac:dyDescent="0.25">
      <c r="A43" t="s">
        <v>259</v>
      </c>
      <c r="B43" t="s">
        <v>260</v>
      </c>
      <c r="C43" t="s">
        <v>261</v>
      </c>
      <c r="F43" t="s">
        <v>262</v>
      </c>
      <c r="L43" t="s">
        <v>24</v>
      </c>
      <c r="M43" t="s">
        <v>25</v>
      </c>
      <c r="O43" t="s">
        <v>26</v>
      </c>
      <c r="P43" t="s">
        <v>263</v>
      </c>
      <c r="Q43" t="s">
        <v>28</v>
      </c>
      <c r="R43" s="3">
        <v>41262.435972222222</v>
      </c>
      <c r="T43" t="s">
        <v>264</v>
      </c>
      <c r="U43" t="str">
        <f t="shared" si="0"/>
        <v>["332be1f6-5791-43ae-9e37-90cc48e75d24", "fc21780d-bbb0-4ec9-9cb2-8687fd28ebc2", "711e4d67-8343-4bf1-90e8-de24738becf9"]</v>
      </c>
      <c r="V43" t="str">
        <f t="shared" si="1"/>
        <v/>
      </c>
      <c r="W43" t="str">
        <f t="shared" si="2"/>
        <v/>
      </c>
      <c r="X43" t="str">
        <f t="shared" si="3"/>
        <v/>
      </c>
    </row>
    <row r="44" spans="1:24" ht="409.5" x14ac:dyDescent="0.25">
      <c r="A44" t="s">
        <v>265</v>
      </c>
      <c r="B44" t="s">
        <v>266</v>
      </c>
      <c r="C44" t="s">
        <v>267</v>
      </c>
      <c r="F44" s="2" t="s">
        <v>268</v>
      </c>
      <c r="L44" t="s">
        <v>24</v>
      </c>
      <c r="M44" t="s">
        <v>25</v>
      </c>
      <c r="O44" t="s">
        <v>26</v>
      </c>
      <c r="P44" t="s">
        <v>269</v>
      </c>
      <c r="Q44" t="s">
        <v>28</v>
      </c>
      <c r="R44" s="3">
        <v>41211.723124999997</v>
      </c>
      <c r="T44" t="s">
        <v>147</v>
      </c>
      <c r="U44" t="str">
        <f t="shared" si="0"/>
        <v>["5160611a-b665-461b-ae93-e5e6ec342166", "48b40fff-ccaa-4708-8db3-bdc3a791bfca"]</v>
      </c>
      <c r="V44" t="str">
        <f t="shared" si="1"/>
        <v/>
      </c>
      <c r="W44" t="str">
        <f t="shared" si="2"/>
        <v/>
      </c>
      <c r="X44" t="str">
        <f t="shared" si="3"/>
        <v/>
      </c>
    </row>
    <row r="45" spans="1:24" ht="409.5" x14ac:dyDescent="0.25">
      <c r="A45" t="s">
        <v>270</v>
      </c>
      <c r="B45" t="s">
        <v>271</v>
      </c>
      <c r="C45" t="s">
        <v>272</v>
      </c>
      <c r="F45" s="2" t="s">
        <v>273</v>
      </c>
      <c r="L45" t="s">
        <v>24</v>
      </c>
      <c r="M45" t="s">
        <v>25</v>
      </c>
      <c r="O45" t="s">
        <v>26</v>
      </c>
      <c r="P45" t="s">
        <v>274</v>
      </c>
      <c r="Q45" t="s">
        <v>28</v>
      </c>
      <c r="R45" s="3">
        <v>41232.380972222221</v>
      </c>
      <c r="T45" t="s">
        <v>275</v>
      </c>
      <c r="U45" t="str">
        <f t="shared" si="0"/>
        <v>["c8218f47-8ef6-43c6-9f86-3125e317f60e"]</v>
      </c>
      <c r="V45" t="str">
        <f t="shared" si="1"/>
        <v/>
      </c>
      <c r="W45" t="str">
        <f t="shared" si="2"/>
        <v/>
      </c>
      <c r="X45" t="str">
        <f t="shared" si="3"/>
        <v/>
      </c>
    </row>
    <row r="46" spans="1:24" x14ac:dyDescent="0.25">
      <c r="A46" t="s">
        <v>276</v>
      </c>
      <c r="B46" t="s">
        <v>277</v>
      </c>
      <c r="C46" t="s">
        <v>278</v>
      </c>
      <c r="F46" t="s">
        <v>279</v>
      </c>
      <c r="L46" t="s">
        <v>24</v>
      </c>
      <c r="M46" t="s">
        <v>25</v>
      </c>
      <c r="O46" t="s">
        <v>26</v>
      </c>
      <c r="P46" t="s">
        <v>280</v>
      </c>
      <c r="Q46" t="s">
        <v>28</v>
      </c>
      <c r="R46" s="3">
        <v>41208.872650462959</v>
      </c>
      <c r="T46" t="s">
        <v>281</v>
      </c>
      <c r="U46" t="str">
        <f t="shared" si="0"/>
        <v>["146384fc-3f64-4482-a78a-2f082411a27d"]</v>
      </c>
      <c r="V46" t="str">
        <f t="shared" si="1"/>
        <v/>
      </c>
      <c r="W46" t="str">
        <f t="shared" si="2"/>
        <v/>
      </c>
      <c r="X46" t="str">
        <f t="shared" si="3"/>
        <v/>
      </c>
    </row>
    <row r="47" spans="1:24" ht="409.5" x14ac:dyDescent="0.25">
      <c r="A47" t="s">
        <v>282</v>
      </c>
      <c r="B47" t="s">
        <v>283</v>
      </c>
      <c r="C47" t="s">
        <v>284</v>
      </c>
      <c r="F47" s="2" t="s">
        <v>285</v>
      </c>
      <c r="L47" t="s">
        <v>24</v>
      </c>
      <c r="M47" t="s">
        <v>25</v>
      </c>
      <c r="O47" t="s">
        <v>26</v>
      </c>
      <c r="P47" t="s">
        <v>286</v>
      </c>
      <c r="Q47" t="s">
        <v>28</v>
      </c>
      <c r="R47" s="3">
        <v>41234.474999999999</v>
      </c>
      <c r="T47" t="s">
        <v>287</v>
      </c>
      <c r="U47" t="str">
        <f t="shared" si="0"/>
        <v>["8d482810-26da-4bbc-8599-6b1fd1ab8743", "2ed52078-7e55-40ea-8036-0d89118a06f4", "5982a27f-28a4-4f40-a1cc-5cb650400c50", "2d0e9a21-fa5f-441d-948a-fe97a453a827", "3e62e13e-3955-494a-91b3-f00ab9e84b48", "8a528b7f-98af-4893-af73-5d5f26d3aa7c", "716d89ce-b0da-4158-abb6-72f562206b37", "12426052-8803-4deb-8c89-9e78785f7dd2", "ac4c2ac5-6be4-4471-bbf4-f09228f5db04", "10c7b88b-a708-4e17-a7ef-2c1ce0590377", "e7065317-1d57-434a-8428-efa263ecc526", "e4079286-310c-435a-af2d-64604ba9ade5", "6e7bcb81-1b6c-46ca-817a-937d5664735d", "c1ba372b-dba2-4bce-b72e-b5c832eaaf44", "898afe8c-0297-45d6-b4b5-0cb9e632094b", "c7e84d16-449e-4154-a1bd-603b4fae329e", "bd8b518b-d812-46f9-b367-4c1b660cfc99", "71084c02-973d-4544-b804-7ed82bd53027", "ff1480b5-61f2-4008-aada-387c2c490549", "ac478f32-3e3b-4c04-bc7d-aa75069b6367", "5ceed47b-7db0-4958-a893-6d217eb25517", "be2e0197-57b8-4fcf-a144-cb33f7466f3a", "146384fc-3f64-4482-a78a-2f082411a27d", "fd1db6d6-98a5-4c78-bcee-bc57d068ee13", "22add642-d849-48ff-9913-8c7ba2d99b46", "298e6b5a-21a8-4d56-948</v>
      </c>
      <c r="V47" t="str">
        <f t="shared" si="1"/>
        <v>4-1bac58c94a26", "47c7ffa9-65ba-41d1-9461-4e5458afd62e", "5e6175cd-dc44-4b32-a64a-1ac4239a6e4a", "b2e85e3e-bfba-44c5-b472-3d849e3a3f74", "4111e2d8-1729-4953-899a-c55bc382857e", "2f5baa1f-208c-42c2-8d04-9ea74aa1b229", "455cf48c-cdee-4721-a0ed-cd38af7aff0f", "5f8ecd04-6e84-4ed7-b4d6-3632c5d2b8f4", "6f412521-2e9b-44b1-a3e4-8f1358caef63", "fc725989-5c3e-4bf4-89b1-68caeec4d858", "3284450c-f8cc-439b-b331-ff901a307db6", "f08964c6-5987-43c3-97d8-cb5a4eff0454", "fd544e75-122f-4278-85e7-b9b591d4ceaa", "383408d4-89b8-42df-af53-5c89f91e0cc7", "7b1492ea-72f1-4d79-a5df-2e0e32088ea1", "41e2cda3-d829-43dc-8d59-87e16e8301f6", "28a7419c-f432-4e1a-b0a6-aa9e71968a14", "7035def0-a9df-430a-99ee-6e13de12676c", "87f121a7-eef0-4be9-9372-a5efe5b4d375", "5d642d09-8e03-4200-a79b-2a397a6d5d51", "3ff63cf5-8d04-4be5-9449-96411ae9fc36", "aa8876c7-9711-4969-b428-34400f2d0dbe", "6858b208-62bc-424e-9d7b-c89b74d3d3e3", "a1347e6c-db7d-423d-9b62-de7717129f5b", "54fc7750-8540-4c22-8d46-9a6a2641c41a", "d2c6f6f5-2236-4217-8361-3297b6369979", "97ef14</v>
      </c>
      <c r="W47" t="str">
        <f t="shared" si="2"/>
        <v>eb-f280-48a7-96c0-df03859b06c2", "8e454ce2-435e-4352-962b-1bf4e4303301", "d9321ccf-d303-4cfb-a24b-32aba49cef81", "8e420764-a913-4eae-8514-9be858fdb9b3", "893e2a5e-78ec-46fa-9e6e-6eec56d7c536", "c694f63c-b49e-4151-bbab-bf1b6f4958ba", "21fca925-12ac-4215-ba1a-a9c73cb3b082", "371f7f97-e7ad-4335-a4f9-0d1ca4daa1ec", "2a747392-a08e-4f3d-aa58-c22b2c9d3a0d", "98908792-f315-4834-9b5e-20fed66cbe5a", "2b1b422a-0235-485b-bd39-da1eff5d69c5", "b8fa7909-7b83-4a1a-badb-264ca39308dd", "2adc5a86-faa3-4b63-acff-a66128b811b7", "a42cbe4f-89f0-42ae-a34d-f2e5db6aa1d2", "826d798e-01d1-48d3-973c-e0e466a63ca8", "de64ade8-5025-40f9-a2e0-15b72797e6a7", "038920bb-8c40-4a30-8d0c-0a29bcd64751", "523ba2e4-8c55-4dde-8acf-39e3621811b0", "96196887-5a20-4e93-a302-72f306f32c9d", "4e8d237b-8bd4-4483-a85d-431784c543b9", "7fcf7f09-12d7-4b06-a183-93c51f940670", "699a5a9a-348c-4a46-b99e-a23b59f27721", "c5cf2502-7572-4fd1-a836-48b335a2d47d", "aac2629e-495d-4468-9c8b-cd9649bd7b5d", "7c6e9dbf-487b-4146-a379-19e46642c392", "a14e57c4-ea1c-4a7a-863a-b874cc</v>
      </c>
      <c r="X47" t="str">
        <f t="shared" si="3"/>
        <v>f23790", "c91a4635-8b7d-43fe-9b27-d95dec8392a7", "4315e096-f51e-4b56-8235-57be9789a62c", "2ee6b8bf-6292-413c-bb8b-bd22dbb2ad4b"]</v>
      </c>
    </row>
    <row r="48" spans="1:24" x14ac:dyDescent="0.25">
      <c r="A48" t="s">
        <v>288</v>
      </c>
      <c r="B48" t="s">
        <v>289</v>
      </c>
      <c r="C48" t="s">
        <v>290</v>
      </c>
      <c r="F48" t="s">
        <v>291</v>
      </c>
      <c r="L48" t="s">
        <v>24</v>
      </c>
      <c r="M48" t="s">
        <v>25</v>
      </c>
      <c r="O48" t="s">
        <v>26</v>
      </c>
      <c r="P48" t="s">
        <v>292</v>
      </c>
      <c r="Q48" t="s">
        <v>28</v>
      </c>
      <c r="R48" s="3">
        <v>41220.454155092593</v>
      </c>
      <c r="T48" t="s">
        <v>293</v>
      </c>
      <c r="U48" t="str">
        <f t="shared" si="0"/>
        <v>["b01585af-110f-4f87-9bf1-06805605926c", "fa96d249-2f58-48ce-bb3f-bb18b447ffc8"]</v>
      </c>
      <c r="V48" t="str">
        <f t="shared" si="1"/>
        <v/>
      </c>
      <c r="W48" t="str">
        <f t="shared" si="2"/>
        <v/>
      </c>
      <c r="X48" t="str">
        <f t="shared" si="3"/>
        <v/>
      </c>
    </row>
    <row r="49" spans="1:24" ht="409.5" x14ac:dyDescent="0.25">
      <c r="A49" t="s">
        <v>294</v>
      </c>
      <c r="B49" t="s">
        <v>295</v>
      </c>
      <c r="C49" t="s">
        <v>296</v>
      </c>
      <c r="F49" s="2" t="s">
        <v>297</v>
      </c>
      <c r="L49" t="s">
        <v>24</v>
      </c>
      <c r="M49" t="s">
        <v>25</v>
      </c>
      <c r="O49" t="s">
        <v>26</v>
      </c>
      <c r="P49" t="s">
        <v>298</v>
      </c>
      <c r="Q49" t="s">
        <v>28</v>
      </c>
      <c r="R49" s="3">
        <v>41211.727870370371</v>
      </c>
      <c r="T49" t="s">
        <v>299</v>
      </c>
      <c r="U49" t="str">
        <f t="shared" si="0"/>
        <v>["98908792-f315-4834-9b5e-20fed66cbe5a"]</v>
      </c>
      <c r="V49" t="str">
        <f t="shared" si="1"/>
        <v/>
      </c>
      <c r="W49" t="str">
        <f t="shared" si="2"/>
        <v/>
      </c>
      <c r="X49" t="str">
        <f t="shared" si="3"/>
        <v/>
      </c>
    </row>
    <row r="50" spans="1:24" x14ac:dyDescent="0.25">
      <c r="A50" t="s">
        <v>300</v>
      </c>
      <c r="B50" t="s">
        <v>301</v>
      </c>
      <c r="C50" t="s">
        <v>302</v>
      </c>
      <c r="F50" t="s">
        <v>303</v>
      </c>
      <c r="L50" t="s">
        <v>24</v>
      </c>
      <c r="M50" t="s">
        <v>25</v>
      </c>
      <c r="O50" t="s">
        <v>26</v>
      </c>
      <c r="P50" t="s">
        <v>304</v>
      </c>
      <c r="Q50" t="s">
        <v>28</v>
      </c>
      <c r="R50" s="3">
        <v>41254.561157407406</v>
      </c>
      <c r="T50" t="s">
        <v>305</v>
      </c>
      <c r="U50" t="str">
        <f t="shared" si="0"/>
        <v>["8e454ce2-435e-4352-962b-1bf4e4303301", "898afe8c-0297-45d6-b4b5-0cb9e632094b", "bf902d04-f6c9-438e-aec1-1a762c50614b", "39f5a085-5209-4d78-9b8b-dc6e1e79e1ea"]</v>
      </c>
      <c r="V50" t="str">
        <f t="shared" si="1"/>
        <v/>
      </c>
      <c r="W50" t="str">
        <f t="shared" si="2"/>
        <v/>
      </c>
      <c r="X50" t="str">
        <f t="shared" si="3"/>
        <v/>
      </c>
    </row>
    <row r="51" spans="1:24" ht="409.5" x14ac:dyDescent="0.25">
      <c r="A51" t="s">
        <v>306</v>
      </c>
      <c r="B51" t="s">
        <v>307</v>
      </c>
      <c r="C51" t="s">
        <v>308</v>
      </c>
      <c r="F51" s="2" t="s">
        <v>309</v>
      </c>
      <c r="L51" t="s">
        <v>24</v>
      </c>
      <c r="M51" t="s">
        <v>25</v>
      </c>
      <c r="O51" t="s">
        <v>26</v>
      </c>
      <c r="P51" t="s">
        <v>310</v>
      </c>
      <c r="Q51" t="s">
        <v>28</v>
      </c>
      <c r="R51" s="3">
        <v>41213.33121527778</v>
      </c>
      <c r="T51" t="s">
        <v>311</v>
      </c>
      <c r="U51" t="str">
        <f t="shared" si="0"/>
        <v>["b01585af-110f-4f87-9bf1-06805605926c"]</v>
      </c>
      <c r="V51" t="str">
        <f t="shared" si="1"/>
        <v/>
      </c>
      <c r="W51" t="str">
        <f t="shared" si="2"/>
        <v/>
      </c>
      <c r="X51" t="str">
        <f t="shared" si="3"/>
        <v/>
      </c>
    </row>
    <row r="52" spans="1:24" ht="409.5" x14ac:dyDescent="0.25">
      <c r="A52" t="s">
        <v>312</v>
      </c>
      <c r="B52" t="s">
        <v>313</v>
      </c>
      <c r="C52" t="s">
        <v>314</v>
      </c>
      <c r="F52" s="2" t="s">
        <v>315</v>
      </c>
      <c r="L52" t="s">
        <v>24</v>
      </c>
      <c r="M52" t="s">
        <v>25</v>
      </c>
      <c r="O52" t="s">
        <v>26</v>
      </c>
      <c r="P52" t="s">
        <v>316</v>
      </c>
      <c r="Q52" t="s">
        <v>28</v>
      </c>
      <c r="R52" s="3">
        <v>41233.379548611112</v>
      </c>
      <c r="T52" t="s">
        <v>317</v>
      </c>
      <c r="U52" t="str">
        <f t="shared" si="0"/>
        <v>["332be1f6-5791-43ae-9e37-90cc48e75d24", "0adc90c9-ac6b-47ef-aa83-b7780594720c", "711e4d67-8343-4bf1-90e8-de24738becf9", "a14e57c4-ea1c-4a7a-863a-b874ccf23790", "c91a4635-8b7d-43fe-9b27-d95dec8392a7", "21fca925-12ac-4215-ba1a-a9c73cb3b082", "2a747392-a08e-4f3d-aa58-c22b2c9d3a0d", "6858b208-62bc-424e-9d7b-c89b74d3d3e3", "627a9226-a907-4018-89e3-878002a9d22b", "6e7bcb81-1b6c-46ca-817a-937d5664735d", "2f5baa1f-208c-42c2-8d04-9ea74aa1b229", "ac478f32-3e3b-4c04-bc7d-aa75069b6367", "5ceed47b-7db0-4958-a893-6d217eb25517", "2d0e9a21-fa5f-441d-948a-fe97a453a827", "5982a27f-28a4-4f40-a1cc-5cb650400c50", "ac4c2ac5-6be4-4471-bbf4-f09228f5db04", "10c7b88b-a708-4e17-a7ef-2c1ce0590377", "e4079286-310c-435a-af2d-64604ba9ade5"]</v>
      </c>
      <c r="V52" t="str">
        <f t="shared" si="1"/>
        <v/>
      </c>
      <c r="W52" t="str">
        <f t="shared" si="2"/>
        <v/>
      </c>
      <c r="X52" t="str">
        <f t="shared" si="3"/>
        <v/>
      </c>
    </row>
    <row r="53" spans="1:24" x14ac:dyDescent="0.25">
      <c r="A53" t="s">
        <v>318</v>
      </c>
      <c r="B53" t="s">
        <v>319</v>
      </c>
      <c r="C53" t="s">
        <v>320</v>
      </c>
      <c r="F53" t="s">
        <v>321</v>
      </c>
      <c r="L53" t="s">
        <v>24</v>
      </c>
      <c r="M53" t="s">
        <v>25</v>
      </c>
      <c r="O53" t="s">
        <v>26</v>
      </c>
      <c r="P53" t="s">
        <v>322</v>
      </c>
      <c r="Q53" t="s">
        <v>28</v>
      </c>
      <c r="R53" s="3">
        <v>41332.616689814815</v>
      </c>
      <c r="T53" t="s">
        <v>323</v>
      </c>
      <c r="U53" t="str">
        <f t="shared" si="0"/>
        <v>["78b906a0-1e2e-4176-9a74-6be3587fde6d"]</v>
      </c>
      <c r="V53" t="str">
        <f t="shared" si="1"/>
        <v/>
      </c>
      <c r="W53" t="str">
        <f t="shared" si="2"/>
        <v/>
      </c>
      <c r="X53" t="str">
        <f t="shared" si="3"/>
        <v/>
      </c>
    </row>
    <row r="54" spans="1:24" x14ac:dyDescent="0.25">
      <c r="A54" t="s">
        <v>324</v>
      </c>
      <c r="B54" t="s">
        <v>325</v>
      </c>
      <c r="C54" t="s">
        <v>326</v>
      </c>
      <c r="F54" t="s">
        <v>327</v>
      </c>
      <c r="L54" t="s">
        <v>24</v>
      </c>
      <c r="M54" t="s">
        <v>25</v>
      </c>
      <c r="O54" t="s">
        <v>26</v>
      </c>
      <c r="P54" t="s">
        <v>328</v>
      </c>
      <c r="Q54" t="s">
        <v>28</v>
      </c>
      <c r="R54" s="3">
        <v>41303.532118055555</v>
      </c>
      <c r="T54" t="s">
        <v>329</v>
      </c>
      <c r="U54" t="str">
        <f t="shared" si="0"/>
        <v>["74358c31-1607-41ff-bf02-a4b171e3a40d", "92183c55-442b-405d-9046-d19b07ffc83a"]</v>
      </c>
      <c r="V54" t="str">
        <f t="shared" si="1"/>
        <v/>
      </c>
      <c r="W54" t="str">
        <f t="shared" si="2"/>
        <v/>
      </c>
      <c r="X54" t="str">
        <f t="shared" si="3"/>
        <v/>
      </c>
    </row>
    <row r="55" spans="1:24" ht="409.5" x14ac:dyDescent="0.25">
      <c r="A55" t="s">
        <v>330</v>
      </c>
      <c r="B55" t="s">
        <v>331</v>
      </c>
      <c r="C55" t="s">
        <v>332</v>
      </c>
      <c r="F55" s="2" t="s">
        <v>333</v>
      </c>
      <c r="L55" t="s">
        <v>24</v>
      </c>
      <c r="M55" t="s">
        <v>25</v>
      </c>
      <c r="O55" t="s">
        <v>26</v>
      </c>
      <c r="P55" t="s">
        <v>334</v>
      </c>
      <c r="Q55" t="s">
        <v>28</v>
      </c>
      <c r="R55" s="3">
        <v>41226.654351851852</v>
      </c>
      <c r="T55" t="s">
        <v>335</v>
      </c>
      <c r="U55" t="str">
        <f t="shared" si="0"/>
        <v>["3ff63cf5-8d04-4be5-9449-96411ae9fc36"]</v>
      </c>
      <c r="V55" t="str">
        <f t="shared" si="1"/>
        <v/>
      </c>
      <c r="W55" t="str">
        <f t="shared" si="2"/>
        <v/>
      </c>
      <c r="X55" t="str">
        <f t="shared" si="3"/>
        <v/>
      </c>
    </row>
    <row r="56" spans="1:24" ht="409.5" x14ac:dyDescent="0.25">
      <c r="A56" t="s">
        <v>336</v>
      </c>
      <c r="B56" t="s">
        <v>337</v>
      </c>
      <c r="C56" t="s">
        <v>338</v>
      </c>
      <c r="F56" s="2" t="s">
        <v>339</v>
      </c>
      <c r="L56" t="s">
        <v>24</v>
      </c>
      <c r="M56" t="s">
        <v>25</v>
      </c>
      <c r="O56" t="s">
        <v>26</v>
      </c>
      <c r="P56" t="s">
        <v>340</v>
      </c>
      <c r="Q56" t="s">
        <v>28</v>
      </c>
      <c r="R56" s="3">
        <v>41281.59375</v>
      </c>
      <c r="T56" t="s">
        <v>341</v>
      </c>
      <c r="U56" t="str">
        <f t="shared" si="0"/>
        <v>["a42cbe4f-89f0-42ae-a34d-f2e5db6aa1d2"]</v>
      </c>
      <c r="V56" t="str">
        <f t="shared" si="1"/>
        <v/>
      </c>
      <c r="W56" t="str">
        <f t="shared" si="2"/>
        <v/>
      </c>
      <c r="X56" t="str">
        <f t="shared" si="3"/>
        <v/>
      </c>
    </row>
    <row r="57" spans="1:24" ht="409.5" x14ac:dyDescent="0.25">
      <c r="A57" t="s">
        <v>342</v>
      </c>
      <c r="B57" t="s">
        <v>343</v>
      </c>
      <c r="C57" t="s">
        <v>344</v>
      </c>
      <c r="F57" s="2" t="s">
        <v>345</v>
      </c>
      <c r="L57" t="s">
        <v>24</v>
      </c>
      <c r="M57" t="s">
        <v>25</v>
      </c>
      <c r="O57" t="s">
        <v>26</v>
      </c>
      <c r="P57" t="s">
        <v>346</v>
      </c>
      <c r="Q57" t="s">
        <v>28</v>
      </c>
      <c r="R57" s="3">
        <v>41232.366747685184</v>
      </c>
      <c r="T57" t="s">
        <v>347</v>
      </c>
      <c r="U57" t="str">
        <f t="shared" si="0"/>
        <v>["298e6b5a-21a8-4d56-9484-1bac58c94a26"]</v>
      </c>
      <c r="V57" t="str">
        <f t="shared" si="1"/>
        <v/>
      </c>
      <c r="W57" t="str">
        <f t="shared" si="2"/>
        <v/>
      </c>
      <c r="X57" t="str">
        <f t="shared" si="3"/>
        <v/>
      </c>
    </row>
    <row r="58" spans="1:24" ht="409.5" x14ac:dyDescent="0.25">
      <c r="A58" t="s">
        <v>348</v>
      </c>
      <c r="B58" t="s">
        <v>349</v>
      </c>
      <c r="C58" t="s">
        <v>350</v>
      </c>
      <c r="F58" s="2" t="s">
        <v>351</v>
      </c>
      <c r="L58" t="s">
        <v>24</v>
      </c>
      <c r="M58" t="s">
        <v>25</v>
      </c>
      <c r="O58" t="s">
        <v>26</v>
      </c>
      <c r="P58" t="s">
        <v>352</v>
      </c>
      <c r="Q58" t="s">
        <v>28</v>
      </c>
      <c r="R58" s="3">
        <v>41235.515335648146</v>
      </c>
      <c r="T58" t="s">
        <v>353</v>
      </c>
      <c r="U58" t="str">
        <f t="shared" si="0"/>
        <v>["8a528b7f-98af-4893-af73-5d5f26d3aa7c"]</v>
      </c>
      <c r="V58" t="str">
        <f t="shared" si="1"/>
        <v/>
      </c>
      <c r="W58" t="str">
        <f t="shared" si="2"/>
        <v/>
      </c>
      <c r="X58" t="str">
        <f t="shared" si="3"/>
        <v/>
      </c>
    </row>
    <row r="59" spans="1:24" ht="409.5" x14ac:dyDescent="0.25">
      <c r="A59" t="s">
        <v>354</v>
      </c>
      <c r="B59" t="s">
        <v>355</v>
      </c>
      <c r="C59" t="s">
        <v>356</v>
      </c>
      <c r="F59" s="2" t="s">
        <v>357</v>
      </c>
      <c r="L59" t="s">
        <v>24</v>
      </c>
      <c r="M59" t="s">
        <v>25</v>
      </c>
      <c r="O59" t="s">
        <v>26</v>
      </c>
      <c r="P59" t="s">
        <v>358</v>
      </c>
      <c r="Q59" t="s">
        <v>28</v>
      </c>
      <c r="R59" s="3">
        <v>41239.468391203707</v>
      </c>
      <c r="T59" t="s">
        <v>359</v>
      </c>
      <c r="U59" t="str">
        <f t="shared" si="0"/>
        <v>["98908792-f315-4834-9b5e-20fed66cbe5a", "146384fc-3f64-4482-a78a-2f082411a27d", "d2c6f6f5-2236-4217-8361-3297b6369979", "54fc7750-8540-4c22-8d46-9a6a2641c41a", "8d482810-26da-4bbc-8599-6b1fd1ab8743", "038920bb-8c40-4a30-8d0c-0a29bcd64751"]</v>
      </c>
      <c r="V59" t="str">
        <f t="shared" si="1"/>
        <v/>
      </c>
      <c r="W59" t="str">
        <f t="shared" si="2"/>
        <v/>
      </c>
      <c r="X59" t="str">
        <f t="shared" si="3"/>
        <v/>
      </c>
    </row>
    <row r="60" spans="1:24" x14ac:dyDescent="0.25">
      <c r="A60" t="s">
        <v>360</v>
      </c>
      <c r="B60" t="s">
        <v>361</v>
      </c>
      <c r="C60" t="s">
        <v>362</v>
      </c>
      <c r="F60" t="s">
        <v>363</v>
      </c>
      <c r="L60" t="s">
        <v>24</v>
      </c>
      <c r="M60" t="s">
        <v>25</v>
      </c>
      <c r="O60" t="s">
        <v>26</v>
      </c>
      <c r="P60" t="s">
        <v>364</v>
      </c>
      <c r="Q60" t="s">
        <v>28</v>
      </c>
      <c r="R60" s="3">
        <v>41260.661863425928</v>
      </c>
      <c r="T60" t="s">
        <v>99</v>
      </c>
      <c r="U60" t="str">
        <f t="shared" si="0"/>
        <v>["c91a4635-8b7d-43fe-9b27-d95dec8392a7"]</v>
      </c>
      <c r="V60" t="str">
        <f t="shared" si="1"/>
        <v/>
      </c>
      <c r="W60" t="str">
        <f t="shared" si="2"/>
        <v/>
      </c>
      <c r="X60" t="str">
        <f t="shared" si="3"/>
        <v/>
      </c>
    </row>
    <row r="61" spans="1:24" ht="409.5" x14ac:dyDescent="0.25">
      <c r="A61" s="4" t="s">
        <v>365</v>
      </c>
      <c r="B61" t="s">
        <v>366</v>
      </c>
      <c r="C61" t="s">
        <v>367</v>
      </c>
      <c r="F61" s="2" t="s">
        <v>368</v>
      </c>
      <c r="L61" t="s">
        <v>24</v>
      </c>
      <c r="M61" t="s">
        <v>25</v>
      </c>
      <c r="O61" t="s">
        <v>26</v>
      </c>
      <c r="P61" t="s">
        <v>369</v>
      </c>
      <c r="Q61" t="s">
        <v>28</v>
      </c>
      <c r="R61" s="3">
        <v>41281.596377314818</v>
      </c>
      <c r="T61" t="s">
        <v>370</v>
      </c>
      <c r="U61" t="str">
        <f t="shared" si="0"/>
        <v>["383408d4-89b8-42df-af53-5c89f91e0cc7"]</v>
      </c>
      <c r="V61" t="str">
        <f t="shared" si="1"/>
        <v/>
      </c>
      <c r="W61" t="str">
        <f t="shared" si="2"/>
        <v/>
      </c>
      <c r="X61" t="str">
        <f t="shared" si="3"/>
        <v/>
      </c>
    </row>
    <row r="62" spans="1:24" ht="409.5" x14ac:dyDescent="0.25">
      <c r="A62" t="s">
        <v>371</v>
      </c>
      <c r="B62" t="s">
        <v>372</v>
      </c>
      <c r="C62" t="s">
        <v>373</v>
      </c>
      <c r="F62" s="2" t="s">
        <v>374</v>
      </c>
      <c r="L62" t="s">
        <v>24</v>
      </c>
      <c r="M62" t="s">
        <v>25</v>
      </c>
      <c r="O62" t="s">
        <v>26</v>
      </c>
      <c r="P62" t="s">
        <v>375</v>
      </c>
      <c r="Q62" t="s">
        <v>28</v>
      </c>
      <c r="R62" s="3">
        <v>41444.552037037036</v>
      </c>
      <c r="T62" t="s">
        <v>376</v>
      </c>
      <c r="U62" t="str">
        <f t="shared" si="0"/>
        <v>["aab0a0be-89e6-442e-8cf9-e762bd18f76b", "47c7ffa9-65ba-41d1-9461-4e5458afd62e", "383408d4-89b8-42df-af53-5c89f91e0cc7", "fc21780d-bbb0-4ec9-9cb2-8687fd28ebc2", "f0335765-1ab0-4e94-ab38-f404de4c3b4d", "f4e80988-c139-4953-8176-b3d6d03f6449", "72fbf32e-c8c3-4914-92a1-66dc2439a114", "c6fc4688-1aca-4363-bd1a-8d14ea08d2f8", "5983a1bb-62b6-4e26-afd0-dc234b34cf4b", "71a6ca86-228a-4b57-b1bc-c3b887dd009e", "e257875b-1424-4709-84e9-5ddd8c43ce41", "711e4d67-8343-4bf1-90e8-de24738becf9", "332be1f6-5791-43ae-9e37-90cc48e75d24", "aa8876c7-9711-4969-b428-34400f2d0dbe", "4315e096-f51e-4b56-8235-57be9789a62c", "6858b208-62bc-424e-9d7b-c89b74d3d3e3", "21fca925-12ac-4215-ba1a-a9c73cb3b082", "298e6b5a-21a8-4d56-9484-1bac58c94a26", "e7065317-1d57-434a-8428-efa263ecc526", "716d89ce-b0da-4158-abb6-72f562206b37", "3e62e13e-3955-494a-91b3-f00ab9e84b48", "2ed52078-7e55-40ea-8036-0d89118a06f4", "bd8b518b-d812-46f9-b367-4c1b660cfc99", "be2e0197-57b8-4fcf-a144-cb33f7466f3a", "ff1480b5-61f2-4008-aada-387c2c490549", "71084c02-973d-4544-b80</v>
      </c>
      <c r="V62" t="str">
        <f t="shared" si="1"/>
        <v>4-7ed82bd53027", "898afe8c-0297-45d6-b4b5-0cb9e632094b", "c1ba372b-dba2-4bce-b72e-b5c832eaaf44", "54fc7750-8540-4c22-8d46-9a6a2641c41a", "5d642d09-8e03-4200-a79b-2a397a6d5d51", "87f121a7-eef0-4be9-9372-a5efe5b4d375", "8d482810-26da-4bbc-8599-6b1fd1ab8743", "97ef14eb-f280-48a7-96c0-df03859b06c2", "96196887-5a20-4e93-a302-72f306f32c9d", "523ba2e4-8c55-4dde-8acf-39e3621811b0", "7fcf7f09-12d7-4b06-a183-93c51f940670", "6f412521-2e9b-44b1-a3e4-8f1358caef63", "5f8ecd04-6e84-4ed7-b4d6-3632c5d2b8f4", "d2c6f6f5-2236-4217-8361-3297b6369979", "826d798e-01d1-48d3-973c-e0e466a63ca8", "a42cbe4f-89f0-42ae-a34d-f2e5db6aa1d2", "2adc5a86-faa3-4b63-acff-a66128b811b7", "7c6e9dbf-487b-4146-a379-19e46642c392", "fc725989-5c3e-4bf4-89b1-68caeec4d858", "2ee6b8bf-6292-413c-bb8b-bd22dbb2ad4b", "22add642-d849-48ff-9913-8c7ba2d99b46", "8a528b7f-98af-4893-af73-5d5f26d3aa7c", "5982a27f-28a4-4f40-a1cc-5cb650400c50", "2d0e9a21-fa5f-441d-948a-fe97a453a827", "98908792-f315-4834-9b5e-20fed66cbe5a", "3ff63cf5-8d04-4be5-9449-96411ae9fc36", "8e4207</v>
      </c>
      <c r="W62" t="str">
        <f t="shared" si="2"/>
        <v>64-a913-4eae-8514-9be858fdb9b3", "28a7419c-f432-4e1a-b0a6-aa9e71968a14", "02ad6e25-2698-405f-a37b-99745b1ac69c", "fa96d249-2f58-48ce-bb3f-bb18b447ffc8", "45a55c97-2122-42a6-823d-f374f1a8bd48", "770f9237-9a7f-45e4-9647-aacf35ddee06"]</v>
      </c>
      <c r="X62" t="str">
        <f t="shared" si="3"/>
        <v/>
      </c>
    </row>
    <row r="63" spans="1:24" ht="409.5" x14ac:dyDescent="0.25">
      <c r="A63" t="s">
        <v>377</v>
      </c>
      <c r="B63" t="s">
        <v>378</v>
      </c>
      <c r="C63" t="s">
        <v>379</v>
      </c>
      <c r="F63" s="2" t="s">
        <v>380</v>
      </c>
      <c r="L63" t="s">
        <v>24</v>
      </c>
      <c r="M63" t="s">
        <v>25</v>
      </c>
      <c r="O63" t="s">
        <v>26</v>
      </c>
      <c r="P63" t="s">
        <v>381</v>
      </c>
      <c r="Q63" t="s">
        <v>28</v>
      </c>
      <c r="R63" s="3">
        <v>41283.374618055554</v>
      </c>
      <c r="T63" t="s">
        <v>382</v>
      </c>
      <c r="U63" t="str">
        <f t="shared" si="0"/>
        <v>["7fcf7f09-12d7-4b06-a183-93c51f940670"]</v>
      </c>
      <c r="V63" t="str">
        <f t="shared" si="1"/>
        <v/>
      </c>
      <c r="W63" t="str">
        <f t="shared" si="2"/>
        <v/>
      </c>
      <c r="X63" t="str">
        <f t="shared" si="3"/>
        <v/>
      </c>
    </row>
    <row r="64" spans="1:24" ht="409.5" x14ac:dyDescent="0.25">
      <c r="A64" t="s">
        <v>383</v>
      </c>
      <c r="B64" t="s">
        <v>384</v>
      </c>
      <c r="C64" t="s">
        <v>385</v>
      </c>
      <c r="F64" s="2" t="s">
        <v>386</v>
      </c>
      <c r="L64" t="s">
        <v>24</v>
      </c>
      <c r="M64" t="s">
        <v>25</v>
      </c>
      <c r="O64" t="s">
        <v>26</v>
      </c>
      <c r="P64" t="s">
        <v>387</v>
      </c>
      <c r="Q64" t="s">
        <v>28</v>
      </c>
      <c r="R64" s="3">
        <v>41292.446701388886</v>
      </c>
      <c r="T64" t="s">
        <v>29</v>
      </c>
      <c r="U64" t="str">
        <f t="shared" si="0"/>
        <v>[]</v>
      </c>
      <c r="V64" t="str">
        <f t="shared" si="1"/>
        <v/>
      </c>
      <c r="W64" t="str">
        <f t="shared" si="2"/>
        <v/>
      </c>
      <c r="X64" t="str">
        <f t="shared" si="3"/>
        <v/>
      </c>
    </row>
    <row r="65" spans="1:24" x14ac:dyDescent="0.25">
      <c r="A65" t="s">
        <v>388</v>
      </c>
      <c r="B65" t="s">
        <v>389</v>
      </c>
      <c r="C65" t="s">
        <v>390</v>
      </c>
      <c r="F65" t="s">
        <v>391</v>
      </c>
      <c r="L65" t="s">
        <v>24</v>
      </c>
      <c r="M65" t="s">
        <v>25</v>
      </c>
      <c r="O65" t="s">
        <v>26</v>
      </c>
      <c r="P65" t="s">
        <v>392</v>
      </c>
      <c r="Q65" t="s">
        <v>28</v>
      </c>
      <c r="R65" s="3">
        <v>41327.343182870369</v>
      </c>
      <c r="T65" t="s">
        <v>393</v>
      </c>
      <c r="U65" t="str">
        <f t="shared" si="0"/>
        <v>["8b3b3cdf-2be6-4f0b-8c86-f6be67e5b002", "f5afc0ab-3203-4384-9d00-03fced6fe7b4", "b77d0b46-306c-46da-b26d-6e4dd718fde7", "46825ece-d165-4b64-bea7-8964b8afdfe3", "e34d45e3-070b-44e7-9a65-7c268fa79fc7", "53b70911-67ee-459b-a573-130272275a91", "f35b2a10-4d8b-40f3-9eb7-15d84c2f7f58", "a7bfaed4-c1df-4448-894b-8effdfaed52d", "b2068d46-de7f-4a22-a563-4dea59b1e6f2", "1ac8b693-987f-47bd-ac7b-f432b01a04a3", "c6bbfc6f-6700-40eb-9537-ab182075c8f8", "d61ed212-9915-4018-a350-caecfda3e0c6", "d780bf4f-063e-4c21-bb28-62c8d1d79cdc"]</v>
      </c>
      <c r="V65" t="str">
        <f t="shared" si="1"/>
        <v/>
      </c>
      <c r="W65" t="str">
        <f t="shared" si="2"/>
        <v/>
      </c>
      <c r="X65" t="str">
        <f t="shared" si="3"/>
        <v/>
      </c>
    </row>
    <row r="66" spans="1:24" ht="409.5" x14ac:dyDescent="0.25">
      <c r="A66" t="s">
        <v>394</v>
      </c>
      <c r="B66" t="s">
        <v>395</v>
      </c>
      <c r="C66" t="s">
        <v>396</v>
      </c>
      <c r="F66" s="2" t="s">
        <v>397</v>
      </c>
      <c r="L66" t="s">
        <v>24</v>
      </c>
      <c r="M66" t="s">
        <v>25</v>
      </c>
      <c r="O66" t="s">
        <v>26</v>
      </c>
      <c r="P66" t="s">
        <v>398</v>
      </c>
      <c r="Q66" t="s">
        <v>28</v>
      </c>
      <c r="R66" s="3">
        <v>41190.541273148148</v>
      </c>
      <c r="T66" t="s">
        <v>347</v>
      </c>
      <c r="U66" t="str">
        <f t="shared" si="0"/>
        <v>["298e6b5a-21a8-4d56-9484-1bac58c94a26"]</v>
      </c>
      <c r="V66" t="str">
        <f t="shared" si="1"/>
        <v/>
      </c>
      <c r="W66" t="str">
        <f t="shared" si="2"/>
        <v/>
      </c>
      <c r="X66" t="str">
        <f t="shared" si="3"/>
        <v/>
      </c>
    </row>
    <row r="67" spans="1:24" ht="409.5" x14ac:dyDescent="0.25">
      <c r="A67" t="s">
        <v>399</v>
      </c>
      <c r="B67" t="s">
        <v>400</v>
      </c>
      <c r="C67" t="s">
        <v>401</v>
      </c>
      <c r="F67" s="2" t="s">
        <v>402</v>
      </c>
      <c r="L67" t="s">
        <v>24</v>
      </c>
      <c r="M67" t="s">
        <v>25</v>
      </c>
      <c r="O67" t="s">
        <v>26</v>
      </c>
      <c r="P67" t="s">
        <v>403</v>
      </c>
      <c r="Q67" t="s">
        <v>28</v>
      </c>
      <c r="R67" s="3">
        <v>41190.52542824074</v>
      </c>
      <c r="T67" t="s">
        <v>224</v>
      </c>
      <c r="U67" t="str">
        <f t="shared" ref="U67:U130" si="4">LEFT(T67, 1024)</f>
        <v>["6858b208-62bc-424e-9d7b-c89b74d3d3e3"]</v>
      </c>
      <c r="V67" t="str">
        <f t="shared" ref="V67:V130" si="5">MID(T67, 1025, 1024)</f>
        <v/>
      </c>
      <c r="W67" t="str">
        <f t="shared" ref="W67:W130" si="6">MID(T67, 2049, 1024)</f>
        <v/>
      </c>
      <c r="X67" t="str">
        <f t="shared" ref="X67:X130" si="7">MID(T67, 3073, 1024)</f>
        <v/>
      </c>
    </row>
    <row r="68" spans="1:24" x14ac:dyDescent="0.25">
      <c r="A68" t="s">
        <v>404</v>
      </c>
      <c r="B68" t="s">
        <v>405</v>
      </c>
      <c r="C68" t="s">
        <v>406</v>
      </c>
      <c r="F68" t="s">
        <v>407</v>
      </c>
      <c r="L68" t="s">
        <v>24</v>
      </c>
      <c r="M68" t="s">
        <v>25</v>
      </c>
      <c r="O68" t="s">
        <v>26</v>
      </c>
      <c r="P68" t="s">
        <v>408</v>
      </c>
      <c r="Q68" t="s">
        <v>28</v>
      </c>
      <c r="R68" s="3">
        <v>41327.379791666666</v>
      </c>
      <c r="T68" t="s">
        <v>409</v>
      </c>
      <c r="U68" t="str">
        <f t="shared" si="4"/>
        <v>["146384fc-3f64-4482-a78a-2f082411a27d", "f5afc0ab-3203-4384-9d00-03fced6fe7b4", "8b3b3cdf-2be6-4f0b-8c86-f6be67e5b002", "4315e096-f51e-4b56-8235-57be9789a62c", "21fca925-12ac-4215-ba1a-a9c73cb3b082", "298e6b5a-21a8-4d56-9484-1bac58c94a26", "aac2629e-495d-4468-9c8b-cd9649bd7b5d", "e7065317-1d57-434a-8428-efa263ecc526", "716d89ce-b0da-4158-abb6-72f562206b37", "3e62e13e-3955-494a-91b3-f00ab9e84b48", "2ed52078-7e55-40ea-8036-0d89118a06f4", "bd8b518b-d812-46f9-b367-4c1b660cfc99", "be2e0197-57b8-4fcf-a144-cb33f7466f3a", "71084c02-973d-4544-b804-7ed82bd53027", "c7e84d16-449e-4154-a1bd-603b4fae329e", "898afe8c-0297-45d6-b4b5-0cb9e632094b", "c1ba372b-dba2-4bce-b72e-b5c832eaaf44", "5e6175cd-dc44-4b32-a64a-1ac4239a6e4a", "47c7ffa9-65ba-41d1-9461-4e5458afd62e", "383408d4-89b8-42df-af53-5c89f91e0cc7", "54fc7750-8540-4c22-8d46-9a6a2641c41a", "5d642d09-8e03-4200-a79b-2a397a6d5d51", "87f121a7-eef0-4be9-9372-a5efe5b4d375", "7035def0-a9df-430a-99ee-6e13de12676c", "8d482810-26da-4bbc-8599-6b1fd1ab8743", "c5cf2502-7572-4fd1-a83</v>
      </c>
      <c r="V68" t="str">
        <f t="shared" si="5"/>
        <v>6-48b335a2d47d", "699a5a9a-348c-4a46-b99e-a23b59f27721", "d9321ccf-d303-4cfb-a24b-32aba49cef81", "97ef14eb-f280-48a7-96c0-df03859b06c2", "96196887-5a20-4e93-a302-72f306f32c9d", "523ba2e4-8c55-4dde-8acf-39e3621811b0", "7fcf7f09-12d7-4b06-a183-93c51f940670", "6f412521-2e9b-44b1-a3e4-8f1358caef63", "5f8ecd04-6e84-4ed7-b4d6-3632c5d2b8f4", "455cf48c-cdee-4721-a0ed-cd38af7aff0f", "d2c6f6f5-2236-4217-8361-3297b6369979", "de64ade8-5025-40f9-a2e0-15b72797e6a7", "826d798e-01d1-48d3-973c-e0e466a63ca8", "a42cbe4f-89f0-42ae-a34d-f2e5db6aa1d2", "2adc5a86-faa3-4b63-acff-a66128b811b7", "7c6e9dbf-487b-4146-a379-19e46642c392", "fc725989-5c3e-4bf4-89b1-68caeec4d858", "038920bb-8c40-4a30-8d0c-0a29bcd64751", "627a9226-a907-4018-89e3-878002a9d22b", "8a528b7f-98af-4893-af73-5d5f26d3aa7c", "8e454ce2-435e-4352-962b-1bf4e4303301", "12426052-8803-4deb-8c89-9e78785f7dd2", "98908792-f315-4834-9b5e-20fed66cbe5a", "3ff63cf5-8d04-4be5-9449-96411ae9fc36", "8e420764-a913-4eae-8514-9be858fdb9b3", "28a7419c-f432-4e1a-b0a6-aa9e71968a14"]</v>
      </c>
      <c r="W68" t="str">
        <f t="shared" si="6"/>
        <v/>
      </c>
      <c r="X68" t="str">
        <f t="shared" si="7"/>
        <v/>
      </c>
    </row>
    <row r="69" spans="1:24" x14ac:dyDescent="0.25">
      <c r="A69" t="s">
        <v>410</v>
      </c>
      <c r="B69" t="s">
        <v>411</v>
      </c>
      <c r="C69" t="s">
        <v>412</v>
      </c>
      <c r="F69" t="s">
        <v>413</v>
      </c>
      <c r="L69" t="s">
        <v>24</v>
      </c>
      <c r="M69" t="s">
        <v>25</v>
      </c>
      <c r="O69" t="s">
        <v>26</v>
      </c>
      <c r="P69" t="s">
        <v>414</v>
      </c>
      <c r="Q69" t="s">
        <v>28</v>
      </c>
      <c r="R69" s="3">
        <v>41421.388657407406</v>
      </c>
      <c r="T69" t="s">
        <v>415</v>
      </c>
      <c r="U69" t="str">
        <f t="shared" si="4"/>
        <v>["44d6c71e-d956-41f9-ada6-d31b7793236f"]</v>
      </c>
      <c r="V69" t="str">
        <f t="shared" si="5"/>
        <v/>
      </c>
      <c r="W69" t="str">
        <f t="shared" si="6"/>
        <v/>
      </c>
      <c r="X69" t="str">
        <f t="shared" si="7"/>
        <v/>
      </c>
    </row>
    <row r="70" spans="1:24" x14ac:dyDescent="0.25">
      <c r="A70" t="s">
        <v>416</v>
      </c>
      <c r="B70" t="s">
        <v>417</v>
      </c>
      <c r="C70" t="s">
        <v>418</v>
      </c>
      <c r="F70" t="s">
        <v>419</v>
      </c>
      <c r="L70" t="s">
        <v>24</v>
      </c>
      <c r="M70" t="s">
        <v>25</v>
      </c>
      <c r="O70" t="s">
        <v>26</v>
      </c>
      <c r="P70" t="s">
        <v>420</v>
      </c>
      <c r="Q70" t="s">
        <v>28</v>
      </c>
      <c r="R70" s="3">
        <v>41421.390335648146</v>
      </c>
      <c r="T70" t="s">
        <v>421</v>
      </c>
      <c r="U70" t="str">
        <f t="shared" si="4"/>
        <v>["5fabbf7c-75b0-45c3-b85d-b7e3f37c4b31"]</v>
      </c>
      <c r="V70" t="str">
        <f t="shared" si="5"/>
        <v/>
      </c>
      <c r="W70" t="str">
        <f t="shared" si="6"/>
        <v/>
      </c>
      <c r="X70" t="str">
        <f t="shared" si="7"/>
        <v/>
      </c>
    </row>
    <row r="71" spans="1:24" ht="409.5" x14ac:dyDescent="0.25">
      <c r="A71" t="s">
        <v>422</v>
      </c>
      <c r="B71" t="s">
        <v>423</v>
      </c>
      <c r="C71" t="s">
        <v>424</v>
      </c>
      <c r="F71" s="2" t="s">
        <v>425</v>
      </c>
      <c r="L71" t="s">
        <v>24</v>
      </c>
      <c r="M71" t="s">
        <v>25</v>
      </c>
      <c r="O71" t="s">
        <v>26</v>
      </c>
      <c r="P71" t="s">
        <v>426</v>
      </c>
      <c r="Q71" t="s">
        <v>28</v>
      </c>
      <c r="R71" s="3">
        <v>41333.49927083333</v>
      </c>
      <c r="T71" t="s">
        <v>427</v>
      </c>
      <c r="U71" t="str">
        <f t="shared" si="4"/>
        <v>["6858b208-62bc-424e-9d7b-c89b74d3d3e3", "aa8876c7-9711-4969-b428-34400f2d0dbe", "4111e2d8-1729-4953-899a-c55bc382857e"]</v>
      </c>
      <c r="V71" t="str">
        <f t="shared" si="5"/>
        <v/>
      </c>
      <c r="W71" t="str">
        <f t="shared" si="6"/>
        <v/>
      </c>
      <c r="X71" t="str">
        <f t="shared" si="7"/>
        <v/>
      </c>
    </row>
    <row r="72" spans="1:24" x14ac:dyDescent="0.25">
      <c r="A72" t="s">
        <v>428</v>
      </c>
      <c r="B72" t="s">
        <v>429</v>
      </c>
      <c r="C72" t="s">
        <v>430</v>
      </c>
      <c r="F72" t="s">
        <v>431</v>
      </c>
      <c r="L72" t="s">
        <v>24</v>
      </c>
      <c r="M72" t="s">
        <v>25</v>
      </c>
      <c r="O72" t="s">
        <v>26</v>
      </c>
      <c r="P72" t="s">
        <v>432</v>
      </c>
      <c r="Q72" t="s">
        <v>28</v>
      </c>
      <c r="R72" s="3">
        <v>41333.671643518515</v>
      </c>
      <c r="T72" t="s">
        <v>433</v>
      </c>
      <c r="U72" t="str">
        <f t="shared" si="4"/>
        <v>["2c54f4d6-5712-4e5a-a025-b7f7a396c39b"]</v>
      </c>
      <c r="V72" t="str">
        <f t="shared" si="5"/>
        <v/>
      </c>
      <c r="W72" t="str">
        <f t="shared" si="6"/>
        <v/>
      </c>
      <c r="X72" t="str">
        <f t="shared" si="7"/>
        <v/>
      </c>
    </row>
    <row r="73" spans="1:24" ht="409.5" x14ac:dyDescent="0.25">
      <c r="A73" t="s">
        <v>434</v>
      </c>
      <c r="B73" t="s">
        <v>435</v>
      </c>
      <c r="C73" t="s">
        <v>436</v>
      </c>
      <c r="F73" s="2" t="s">
        <v>437</v>
      </c>
      <c r="L73" t="s">
        <v>24</v>
      </c>
      <c r="M73" t="s">
        <v>25</v>
      </c>
      <c r="O73" t="s">
        <v>26</v>
      </c>
      <c r="P73" t="s">
        <v>438</v>
      </c>
      <c r="Q73" t="s">
        <v>28</v>
      </c>
      <c r="R73" s="3">
        <v>41339.601689814815</v>
      </c>
      <c r="T73" t="s">
        <v>439</v>
      </c>
      <c r="U73" t="str">
        <f t="shared" si="4"/>
        <v>["146384fc-3f64-4482-a78a-2f082411a27d", "fc725989-5c3e-4bf4-89b1-68caeec4d858", "21fca925-12ac-4215-ba1a-a9c73cb3b082", "298e6b5a-21a8-4d56-9484-1bac58c94a26", "716d89ce-b0da-4158-abb6-72f562206b37", "3e62e13e-3955-494a-91b3-f00ab9e84b48", "2ed52078-7e55-40ea-8036-0d89118a06f4", "4315e096-f51e-4b56-8235-57be9789a62c", "bd8b518b-d812-46f9-b367-4c1b660cfc99", "be2e0197-57b8-4fcf-a144-cb33f7466f3a", "71084c02-973d-4544-b804-7ed82bd53027", "c7e84d16-449e-4154-a1bd-603b4fae329e", "898afe8c-0297-45d6-b4b5-0cb9e632094b", "c1ba372b-dba2-4bce-b72e-b5c832eaaf44", "54fc7750-8540-4c22-8d46-9a6a2641c41a", "5d642d09-8e03-4200-a79b-2a397a6d5d51", "87f121a7-eef0-4be9-9372-a5efe5b4d375", "8d482810-26da-4bbc-8599-6b1fd1ab8743", "97ef14eb-f280-48a7-96c0-df03859b06c2", "96196887-5a20-4e93-a302-72f306f32c9d", "523ba2e4-8c55-4dde-8acf-39e3621811b0", "7fcf7f09-12d7-4b06-a183-93c51f940670", "6f412521-2e9b-44b1-a3e4-8f1358caef63", "455cf48c-cdee-4721-a0ed-cd38af7aff0f", "5f8ecd04-6e84-4ed7-b4d6-3632c5d2b8f4", "de64ade8-5025-40f9-a2e</v>
      </c>
      <c r="V73" t="str">
        <f t="shared" si="5"/>
        <v>0-15b72797e6a7", "d2c6f6f5-2236-4217-8361-3297b6369979", "2adc5a86-faa3-4b63-acff-a66128b811b7", "7c6e9dbf-487b-4146-a379-19e46642c392"]</v>
      </c>
      <c r="W73" t="str">
        <f t="shared" si="6"/>
        <v/>
      </c>
      <c r="X73" t="str">
        <f t="shared" si="7"/>
        <v/>
      </c>
    </row>
    <row r="74" spans="1:24" ht="409.5" x14ac:dyDescent="0.25">
      <c r="A74" t="s">
        <v>440</v>
      </c>
      <c r="B74" t="s">
        <v>441</v>
      </c>
      <c r="C74" t="s">
        <v>442</v>
      </c>
      <c r="F74" s="2" t="s">
        <v>443</v>
      </c>
      <c r="L74" t="s">
        <v>24</v>
      </c>
      <c r="M74" t="s">
        <v>25</v>
      </c>
      <c r="O74" t="s">
        <v>26</v>
      </c>
      <c r="P74" t="s">
        <v>444</v>
      </c>
      <c r="Q74" t="s">
        <v>28</v>
      </c>
      <c r="R74" s="3">
        <v>41355.514004629629</v>
      </c>
      <c r="T74" t="s">
        <v>445</v>
      </c>
      <c r="U74" t="str">
        <f t="shared" si="4"/>
        <v>["523ba2e4-8c55-4dde-8acf-39e3621811b0", "72fbf32e-c8c3-4914-92a1-66dc2439a114", "21fca925-12ac-4215-ba1a-a9c73cb3b082", "be2e0197-57b8-4fcf-a144-cb33f7466f3a", "7c6e9dbf-487b-4146-a379-19e46642c392", "c6fc4688-1aca-4363-bd1a-8d14ea08d2f8", "5d642d09-8e03-4200-a79b-2a397a6d5d51", "96196887-5a20-4e93-a302-72f306f32c9d"]</v>
      </c>
      <c r="V74" t="str">
        <f t="shared" si="5"/>
        <v/>
      </c>
      <c r="W74" t="str">
        <f t="shared" si="6"/>
        <v/>
      </c>
      <c r="X74" t="str">
        <f t="shared" si="7"/>
        <v/>
      </c>
    </row>
    <row r="75" spans="1:24" ht="409.5" x14ac:dyDescent="0.25">
      <c r="A75" t="s">
        <v>446</v>
      </c>
      <c r="B75" t="s">
        <v>447</v>
      </c>
      <c r="C75" t="s">
        <v>448</v>
      </c>
      <c r="F75" s="2" t="s">
        <v>449</v>
      </c>
      <c r="L75" t="s">
        <v>24</v>
      </c>
      <c r="M75" t="s">
        <v>25</v>
      </c>
      <c r="O75" t="s">
        <v>26</v>
      </c>
      <c r="P75" t="s">
        <v>450</v>
      </c>
      <c r="Q75" t="s">
        <v>28</v>
      </c>
      <c r="R75" s="3">
        <v>41911.723182870373</v>
      </c>
      <c r="T75" t="s">
        <v>29</v>
      </c>
      <c r="U75" t="str">
        <f t="shared" si="4"/>
        <v>[]</v>
      </c>
      <c r="V75" t="str">
        <f t="shared" si="5"/>
        <v/>
      </c>
      <c r="W75" t="str">
        <f t="shared" si="6"/>
        <v/>
      </c>
      <c r="X75" t="str">
        <f t="shared" si="7"/>
        <v/>
      </c>
    </row>
    <row r="76" spans="1:24" x14ac:dyDescent="0.25">
      <c r="A76" t="s">
        <v>451</v>
      </c>
      <c r="B76" t="s">
        <v>452</v>
      </c>
      <c r="C76" t="s">
        <v>453</v>
      </c>
      <c r="F76" t="s">
        <v>454</v>
      </c>
      <c r="L76" t="s">
        <v>24</v>
      </c>
      <c r="M76" t="s">
        <v>25</v>
      </c>
      <c r="O76" t="s">
        <v>26</v>
      </c>
      <c r="P76" t="s">
        <v>455</v>
      </c>
      <c r="Q76" t="s">
        <v>28</v>
      </c>
      <c r="R76" s="3">
        <v>41421.386724537035</v>
      </c>
      <c r="T76" t="s">
        <v>456</v>
      </c>
      <c r="U76" t="str">
        <f t="shared" si="4"/>
        <v>["dbfb6a2f-3650-49e3-ba07-85d5848498b2"]</v>
      </c>
      <c r="V76" t="str">
        <f t="shared" si="5"/>
        <v/>
      </c>
      <c r="W76" t="str">
        <f t="shared" si="6"/>
        <v/>
      </c>
      <c r="X76" t="str">
        <f t="shared" si="7"/>
        <v/>
      </c>
    </row>
    <row r="77" spans="1:24" ht="409.5" x14ac:dyDescent="0.25">
      <c r="A77" t="s">
        <v>457</v>
      </c>
      <c r="B77" t="s">
        <v>458</v>
      </c>
      <c r="C77" t="s">
        <v>459</v>
      </c>
      <c r="F77" s="2" t="s">
        <v>460</v>
      </c>
      <c r="L77" t="s">
        <v>24</v>
      </c>
      <c r="M77" t="s">
        <v>25</v>
      </c>
      <c r="O77" t="s">
        <v>26</v>
      </c>
      <c r="P77" t="s">
        <v>461</v>
      </c>
      <c r="Q77" t="s">
        <v>28</v>
      </c>
      <c r="R77" s="3">
        <v>41374.381574074076</v>
      </c>
      <c r="T77" t="s">
        <v>462</v>
      </c>
      <c r="U77" t="str">
        <f t="shared" si="4"/>
        <v>["22add642-d849-48ff-9913-8c7ba2d99b46"]</v>
      </c>
      <c r="V77" t="str">
        <f t="shared" si="5"/>
        <v/>
      </c>
      <c r="W77" t="str">
        <f t="shared" si="6"/>
        <v/>
      </c>
      <c r="X77" t="str">
        <f t="shared" si="7"/>
        <v/>
      </c>
    </row>
    <row r="78" spans="1:24" ht="210" x14ac:dyDescent="0.25">
      <c r="A78" t="s">
        <v>463</v>
      </c>
      <c r="B78" t="s">
        <v>464</v>
      </c>
      <c r="C78" t="s">
        <v>465</v>
      </c>
      <c r="F78" s="2" t="s">
        <v>466</v>
      </c>
      <c r="L78" t="s">
        <v>24</v>
      </c>
      <c r="M78" t="s">
        <v>25</v>
      </c>
      <c r="O78" t="s">
        <v>26</v>
      </c>
      <c r="P78" t="s">
        <v>467</v>
      </c>
      <c r="Q78" t="s">
        <v>28</v>
      </c>
      <c r="R78" s="3">
        <v>41681.638993055552</v>
      </c>
      <c r="T78" t="s">
        <v>29</v>
      </c>
      <c r="U78" t="str">
        <f t="shared" si="4"/>
        <v>[]</v>
      </c>
      <c r="V78" t="str">
        <f t="shared" si="5"/>
        <v/>
      </c>
      <c r="W78" t="str">
        <f t="shared" si="6"/>
        <v/>
      </c>
      <c r="X78" t="str">
        <f t="shared" si="7"/>
        <v/>
      </c>
    </row>
    <row r="79" spans="1:24" x14ac:dyDescent="0.25">
      <c r="A79" t="s">
        <v>468</v>
      </c>
      <c r="B79" t="s">
        <v>469</v>
      </c>
      <c r="C79" t="s">
        <v>470</v>
      </c>
      <c r="F79" t="s">
        <v>471</v>
      </c>
      <c r="L79" t="s">
        <v>24</v>
      </c>
      <c r="M79" t="s">
        <v>25</v>
      </c>
      <c r="O79" t="s">
        <v>26</v>
      </c>
      <c r="P79" t="s">
        <v>472</v>
      </c>
      <c r="Q79" t="s">
        <v>28</v>
      </c>
      <c r="R79" s="3">
        <v>41341.444178240738</v>
      </c>
      <c r="T79" t="s">
        <v>473</v>
      </c>
      <c r="U79" t="str">
        <f t="shared" si="4"/>
        <v>["5ceed47b-7db0-4958-a893-6d217eb25517", "c6fc4688-1aca-4363-bd1a-8d14ea08d2f8", "3e62e13e-3955-494a-91b3-f00ab9e84b48", "a42cbe4f-89f0-42ae-a34d-f2e5db6aa1d2", "de64ade8-5025-40f9-a2e0-15b72797e6a7", "523ba2e4-8c55-4dde-8acf-39e3621811b0", "6f412521-2e9b-44b1-a3e4-8f1358caef63", "898afe8c-0297-45d6-b4b5-0cb9e632094b", "aab0a0be-89e6-442e-8cf9-e762bd18f76b", "5982a27f-28a4-4f40-a1cc-5cb650400c50", "629785af-9028-4f11-bdfe-d665a26a3d35", "ea27c88d-6347-48f1-b58e-55960f99a0c1"]</v>
      </c>
      <c r="V79" t="str">
        <f t="shared" si="5"/>
        <v/>
      </c>
      <c r="W79" t="str">
        <f t="shared" si="6"/>
        <v/>
      </c>
      <c r="X79" t="str">
        <f t="shared" si="7"/>
        <v/>
      </c>
    </row>
    <row r="80" spans="1:24" x14ac:dyDescent="0.25">
      <c r="A80" t="s">
        <v>474</v>
      </c>
      <c r="B80" t="s">
        <v>475</v>
      </c>
      <c r="C80" t="s">
        <v>476</v>
      </c>
      <c r="F80" t="s">
        <v>477</v>
      </c>
      <c r="L80" t="s">
        <v>24</v>
      </c>
      <c r="M80" t="s">
        <v>25</v>
      </c>
      <c r="O80" t="s">
        <v>26</v>
      </c>
      <c r="P80" t="s">
        <v>478</v>
      </c>
      <c r="Q80" t="s">
        <v>28</v>
      </c>
      <c r="R80" s="3">
        <v>41345.658043981479</v>
      </c>
      <c r="T80" t="s">
        <v>479</v>
      </c>
      <c r="U80" t="str">
        <f t="shared" si="4"/>
        <v>["2ee6b8bf-6292-413c-bb8b-bd22dbb2ad4b", "8f405794-d95b-4d12-922a-850045bb6870", "091a085f-2652-429f-8dde-c69199440ddf"]</v>
      </c>
      <c r="V80" t="str">
        <f t="shared" si="5"/>
        <v/>
      </c>
      <c r="W80" t="str">
        <f t="shared" si="6"/>
        <v/>
      </c>
      <c r="X80" t="str">
        <f t="shared" si="7"/>
        <v/>
      </c>
    </row>
    <row r="81" spans="1:24" ht="409.5" x14ac:dyDescent="0.25">
      <c r="A81" t="s">
        <v>480</v>
      </c>
      <c r="B81" t="s">
        <v>481</v>
      </c>
      <c r="C81" t="s">
        <v>482</v>
      </c>
      <c r="F81" s="2" t="s">
        <v>483</v>
      </c>
      <c r="L81" t="s">
        <v>24</v>
      </c>
      <c r="M81" t="s">
        <v>25</v>
      </c>
      <c r="O81" t="s">
        <v>26</v>
      </c>
      <c r="P81" t="s">
        <v>484</v>
      </c>
      <c r="Q81" t="s">
        <v>28</v>
      </c>
      <c r="R81" s="3">
        <v>41346.510625000003</v>
      </c>
      <c r="T81" t="s">
        <v>485</v>
      </c>
      <c r="U81" t="str">
        <f t="shared" si="4"/>
        <v>["02eb8854-42a2-44cc-b8f1-abd5cfbd00c9", "16a3da6a-d3d0-4dd7-99c5-27ab3202a939", "4ad92103-b0cf-458d-849d-6d70ac5891fd"]</v>
      </c>
      <c r="V81" t="str">
        <f t="shared" si="5"/>
        <v/>
      </c>
      <c r="W81" t="str">
        <f t="shared" si="6"/>
        <v/>
      </c>
      <c r="X81" t="str">
        <f t="shared" si="7"/>
        <v/>
      </c>
    </row>
    <row r="82" spans="1:24" ht="409.5" x14ac:dyDescent="0.25">
      <c r="A82" t="s">
        <v>486</v>
      </c>
      <c r="B82" t="s">
        <v>487</v>
      </c>
      <c r="C82" t="s">
        <v>488</v>
      </c>
      <c r="F82" s="2" t="s">
        <v>489</v>
      </c>
      <c r="L82" t="s">
        <v>24</v>
      </c>
      <c r="M82" t="s">
        <v>25</v>
      </c>
      <c r="O82" t="s">
        <v>26</v>
      </c>
      <c r="P82" t="s">
        <v>490</v>
      </c>
      <c r="Q82" t="s">
        <v>28</v>
      </c>
      <c r="R82" s="3">
        <v>41543.55940972222</v>
      </c>
      <c r="T82" t="s">
        <v>224</v>
      </c>
      <c r="U82" t="str">
        <f t="shared" si="4"/>
        <v>["6858b208-62bc-424e-9d7b-c89b74d3d3e3"]</v>
      </c>
      <c r="V82" t="str">
        <f t="shared" si="5"/>
        <v/>
      </c>
      <c r="W82" t="str">
        <f t="shared" si="6"/>
        <v/>
      </c>
      <c r="X82" t="str">
        <f t="shared" si="7"/>
        <v/>
      </c>
    </row>
    <row r="83" spans="1:24" x14ac:dyDescent="0.25">
      <c r="A83" t="s">
        <v>491</v>
      </c>
      <c r="B83" t="s">
        <v>492</v>
      </c>
      <c r="C83" t="s">
        <v>493</v>
      </c>
      <c r="F83" t="s">
        <v>494</v>
      </c>
      <c r="L83" t="s">
        <v>24</v>
      </c>
      <c r="M83" t="s">
        <v>25</v>
      </c>
      <c r="O83" t="s">
        <v>26</v>
      </c>
      <c r="P83" t="s">
        <v>495</v>
      </c>
      <c r="Q83" t="s">
        <v>28</v>
      </c>
      <c r="R83" s="3">
        <v>41470.416747685187</v>
      </c>
      <c r="T83" t="s">
        <v>29</v>
      </c>
      <c r="U83" t="str">
        <f t="shared" si="4"/>
        <v>[]</v>
      </c>
      <c r="V83" t="str">
        <f t="shared" si="5"/>
        <v/>
      </c>
      <c r="W83" t="str">
        <f t="shared" si="6"/>
        <v/>
      </c>
      <c r="X83" t="str">
        <f t="shared" si="7"/>
        <v/>
      </c>
    </row>
    <row r="84" spans="1:24" x14ac:dyDescent="0.25">
      <c r="A84" t="s">
        <v>496</v>
      </c>
      <c r="B84" t="s">
        <v>497</v>
      </c>
      <c r="C84" t="s">
        <v>498</v>
      </c>
      <c r="F84" t="s">
        <v>499</v>
      </c>
      <c r="L84" t="s">
        <v>24</v>
      </c>
      <c r="M84" t="s">
        <v>25</v>
      </c>
      <c r="O84" t="s">
        <v>26</v>
      </c>
      <c r="P84" t="s">
        <v>500</v>
      </c>
      <c r="Q84" t="s">
        <v>28</v>
      </c>
      <c r="R84" s="3">
        <v>41570.379837962966</v>
      </c>
      <c r="T84" t="s">
        <v>501</v>
      </c>
      <c r="U84" t="str">
        <f t="shared" si="4"/>
        <v>["e38cdef5-f993-4e6f-919e-ac68d26d727d"]</v>
      </c>
      <c r="V84" t="str">
        <f t="shared" si="5"/>
        <v/>
      </c>
      <c r="W84" t="str">
        <f t="shared" si="6"/>
        <v/>
      </c>
      <c r="X84" t="str">
        <f t="shared" si="7"/>
        <v/>
      </c>
    </row>
    <row r="85" spans="1:24" ht="409.5" x14ac:dyDescent="0.25">
      <c r="A85" t="s">
        <v>502</v>
      </c>
      <c r="B85" t="s">
        <v>503</v>
      </c>
      <c r="C85" t="s">
        <v>504</v>
      </c>
      <c r="F85" s="2" t="s">
        <v>505</v>
      </c>
      <c r="L85" t="s">
        <v>24</v>
      </c>
      <c r="M85" t="s">
        <v>25</v>
      </c>
      <c r="O85" t="s">
        <v>26</v>
      </c>
      <c r="P85" t="s">
        <v>506</v>
      </c>
      <c r="Q85" t="s">
        <v>28</v>
      </c>
      <c r="R85" s="3">
        <v>41548.552523148152</v>
      </c>
      <c r="T85" t="s">
        <v>507</v>
      </c>
      <c r="U85" t="str">
        <f t="shared" si="4"/>
        <v>["09716341-2bea-4298-9525-e936d8247d19"]</v>
      </c>
      <c r="V85" t="str">
        <f t="shared" si="5"/>
        <v/>
      </c>
      <c r="W85" t="str">
        <f t="shared" si="6"/>
        <v/>
      </c>
      <c r="X85" t="str">
        <f t="shared" si="7"/>
        <v/>
      </c>
    </row>
    <row r="86" spans="1:24" ht="409.5" x14ac:dyDescent="0.25">
      <c r="A86" t="s">
        <v>508</v>
      </c>
      <c r="B86" t="s">
        <v>509</v>
      </c>
      <c r="C86" t="s">
        <v>510</v>
      </c>
      <c r="F86" s="2" t="s">
        <v>511</v>
      </c>
      <c r="L86" t="s">
        <v>24</v>
      </c>
      <c r="M86" t="s">
        <v>25</v>
      </c>
      <c r="O86" t="s">
        <v>26</v>
      </c>
      <c r="P86" t="s">
        <v>512</v>
      </c>
      <c r="Q86" t="s">
        <v>28</v>
      </c>
      <c r="R86" s="3">
        <v>41340.617581018516</v>
      </c>
      <c r="T86" t="s">
        <v>99</v>
      </c>
      <c r="U86" t="str">
        <f t="shared" si="4"/>
        <v>["c91a4635-8b7d-43fe-9b27-d95dec8392a7"]</v>
      </c>
      <c r="V86" t="str">
        <f t="shared" si="5"/>
        <v/>
      </c>
      <c r="W86" t="str">
        <f t="shared" si="6"/>
        <v/>
      </c>
      <c r="X86" t="str">
        <f t="shared" si="7"/>
        <v/>
      </c>
    </row>
    <row r="87" spans="1:24" x14ac:dyDescent="0.25">
      <c r="A87" t="s">
        <v>513</v>
      </c>
      <c r="B87" t="s">
        <v>514</v>
      </c>
      <c r="C87" t="s">
        <v>515</v>
      </c>
      <c r="F87" t="s">
        <v>516</v>
      </c>
      <c r="L87" t="s">
        <v>24</v>
      </c>
      <c r="M87" t="s">
        <v>25</v>
      </c>
      <c r="O87" t="s">
        <v>26</v>
      </c>
      <c r="P87" t="s">
        <v>517</v>
      </c>
      <c r="Q87" t="s">
        <v>28</v>
      </c>
      <c r="R87" s="3">
        <v>41598.459340277775</v>
      </c>
      <c r="T87" t="s">
        <v>29</v>
      </c>
      <c r="U87" t="str">
        <f t="shared" si="4"/>
        <v>[]</v>
      </c>
      <c r="V87" t="str">
        <f t="shared" si="5"/>
        <v/>
      </c>
      <c r="W87" t="str">
        <f t="shared" si="6"/>
        <v/>
      </c>
      <c r="X87" t="str">
        <f t="shared" si="7"/>
        <v/>
      </c>
    </row>
    <row r="88" spans="1:24" x14ac:dyDescent="0.25">
      <c r="A88" t="s">
        <v>518</v>
      </c>
      <c r="B88" t="s">
        <v>519</v>
      </c>
      <c r="C88" t="s">
        <v>520</v>
      </c>
      <c r="F88" t="s">
        <v>521</v>
      </c>
      <c r="L88" t="s">
        <v>24</v>
      </c>
      <c r="M88" t="s">
        <v>25</v>
      </c>
      <c r="O88" t="s">
        <v>26</v>
      </c>
      <c r="P88" t="s">
        <v>522</v>
      </c>
      <c r="Q88" t="s">
        <v>28</v>
      </c>
      <c r="R88" s="3">
        <v>41334.35564814815</v>
      </c>
      <c r="T88" t="s">
        <v>201</v>
      </c>
      <c r="U88" t="str">
        <f t="shared" si="4"/>
        <v>["87fc82a0-0042-49c8-b6f9-2602cd3dc17a"]</v>
      </c>
      <c r="V88" t="str">
        <f t="shared" si="5"/>
        <v/>
      </c>
      <c r="W88" t="str">
        <f t="shared" si="6"/>
        <v/>
      </c>
      <c r="X88" t="str">
        <f t="shared" si="7"/>
        <v/>
      </c>
    </row>
    <row r="89" spans="1:24" ht="409.5" x14ac:dyDescent="0.25">
      <c r="A89" t="s">
        <v>523</v>
      </c>
      <c r="B89" t="s">
        <v>524</v>
      </c>
      <c r="C89" t="s">
        <v>525</v>
      </c>
      <c r="F89" s="2" t="s">
        <v>526</v>
      </c>
      <c r="L89" t="s">
        <v>24</v>
      </c>
      <c r="M89" t="s">
        <v>25</v>
      </c>
      <c r="O89" t="s">
        <v>26</v>
      </c>
      <c r="P89" t="s">
        <v>527</v>
      </c>
      <c r="Q89" t="s">
        <v>28</v>
      </c>
      <c r="R89" s="3">
        <v>41561.672719907408</v>
      </c>
      <c r="T89" t="s">
        <v>528</v>
      </c>
      <c r="U89" t="str">
        <f t="shared" si="4"/>
        <v>["9c203fec-dc0d-412c-a7a3-7fd77d0346f1", "522d3045-0b37-48d0-b868-57c99726b1c4"]</v>
      </c>
      <c r="V89" t="str">
        <f t="shared" si="5"/>
        <v/>
      </c>
      <c r="W89" t="str">
        <f t="shared" si="6"/>
        <v/>
      </c>
      <c r="X89" t="str">
        <f t="shared" si="7"/>
        <v/>
      </c>
    </row>
    <row r="90" spans="1:24" ht="409.5" x14ac:dyDescent="0.25">
      <c r="A90" t="s">
        <v>529</v>
      </c>
      <c r="B90" t="s">
        <v>530</v>
      </c>
      <c r="C90" t="s">
        <v>531</v>
      </c>
      <c r="F90" s="2" t="s">
        <v>532</v>
      </c>
      <c r="L90" t="s">
        <v>24</v>
      </c>
      <c r="M90" t="s">
        <v>25</v>
      </c>
      <c r="O90" t="s">
        <v>26</v>
      </c>
      <c r="P90" t="s">
        <v>533</v>
      </c>
      <c r="Q90" t="s">
        <v>28</v>
      </c>
      <c r="R90" s="3">
        <v>41593.540277777778</v>
      </c>
      <c r="T90" t="s">
        <v>29</v>
      </c>
      <c r="U90" t="str">
        <f t="shared" si="4"/>
        <v>[]</v>
      </c>
      <c r="V90" t="str">
        <f t="shared" si="5"/>
        <v/>
      </c>
      <c r="W90" t="str">
        <f t="shared" si="6"/>
        <v/>
      </c>
      <c r="X90" t="str">
        <f t="shared" si="7"/>
        <v/>
      </c>
    </row>
    <row r="91" spans="1:24" ht="409.5" x14ac:dyDescent="0.25">
      <c r="A91" t="s">
        <v>534</v>
      </c>
      <c r="B91" t="s">
        <v>535</v>
      </c>
      <c r="C91" t="s">
        <v>536</v>
      </c>
      <c r="F91" s="2" t="s">
        <v>537</v>
      </c>
      <c r="L91" t="s">
        <v>24</v>
      </c>
      <c r="M91" t="s">
        <v>25</v>
      </c>
      <c r="O91" t="s">
        <v>26</v>
      </c>
      <c r="P91" t="s">
        <v>538</v>
      </c>
      <c r="Q91" t="s">
        <v>28</v>
      </c>
      <c r="R91" s="3">
        <v>41394.395219907405</v>
      </c>
      <c r="T91" t="s">
        <v>311</v>
      </c>
      <c r="U91" t="str">
        <f t="shared" si="4"/>
        <v>["b01585af-110f-4f87-9bf1-06805605926c"]</v>
      </c>
      <c r="V91" t="str">
        <f t="shared" si="5"/>
        <v/>
      </c>
      <c r="W91" t="str">
        <f t="shared" si="6"/>
        <v/>
      </c>
      <c r="X91" t="str">
        <f t="shared" si="7"/>
        <v/>
      </c>
    </row>
    <row r="92" spans="1:24" x14ac:dyDescent="0.25">
      <c r="A92" t="s">
        <v>539</v>
      </c>
      <c r="B92" t="s">
        <v>540</v>
      </c>
      <c r="C92" t="s">
        <v>541</v>
      </c>
      <c r="F92" t="s">
        <v>542</v>
      </c>
      <c r="L92" t="s">
        <v>24</v>
      </c>
      <c r="M92" t="s">
        <v>25</v>
      </c>
      <c r="O92" t="s">
        <v>26</v>
      </c>
      <c r="P92" t="s">
        <v>543</v>
      </c>
      <c r="Q92" t="s">
        <v>28</v>
      </c>
      <c r="R92" s="3">
        <v>41470.37809027778</v>
      </c>
      <c r="T92" t="s">
        <v>29</v>
      </c>
      <c r="U92" t="str">
        <f t="shared" si="4"/>
        <v>[]</v>
      </c>
      <c r="V92" t="str">
        <f t="shared" si="5"/>
        <v/>
      </c>
      <c r="W92" t="str">
        <f t="shared" si="6"/>
        <v/>
      </c>
      <c r="X92" t="str">
        <f t="shared" si="7"/>
        <v/>
      </c>
    </row>
    <row r="93" spans="1:24" x14ac:dyDescent="0.25">
      <c r="A93" t="s">
        <v>544</v>
      </c>
      <c r="B93" t="s">
        <v>545</v>
      </c>
      <c r="C93" t="s">
        <v>546</v>
      </c>
      <c r="F93" t="s">
        <v>547</v>
      </c>
      <c r="L93" t="s">
        <v>24</v>
      </c>
      <c r="M93" t="s">
        <v>25</v>
      </c>
      <c r="O93" t="s">
        <v>26</v>
      </c>
      <c r="P93" t="s">
        <v>548</v>
      </c>
      <c r="Q93" t="s">
        <v>28</v>
      </c>
      <c r="R93" s="3">
        <v>41396.382592592592</v>
      </c>
      <c r="T93" t="s">
        <v>549</v>
      </c>
      <c r="U93" t="str">
        <f t="shared" si="4"/>
        <v>["6858b208-62bc-424e-9d7b-c89b74d3d3e3", "627a9226-a907-4018-89e3-878002a9d22b"]</v>
      </c>
      <c r="V93" t="str">
        <f t="shared" si="5"/>
        <v/>
      </c>
      <c r="W93" t="str">
        <f t="shared" si="6"/>
        <v/>
      </c>
      <c r="X93" t="str">
        <f t="shared" si="7"/>
        <v/>
      </c>
    </row>
    <row r="94" spans="1:24" x14ac:dyDescent="0.25">
      <c r="A94" t="s">
        <v>550</v>
      </c>
      <c r="B94" t="s">
        <v>551</v>
      </c>
      <c r="C94" t="s">
        <v>552</v>
      </c>
      <c r="F94" t="s">
        <v>553</v>
      </c>
      <c r="L94" t="s">
        <v>24</v>
      </c>
      <c r="M94" t="s">
        <v>25</v>
      </c>
      <c r="O94" t="s">
        <v>26</v>
      </c>
      <c r="P94" t="s">
        <v>554</v>
      </c>
      <c r="Q94" t="s">
        <v>28</v>
      </c>
      <c r="R94" s="3">
        <v>41554.441099537034</v>
      </c>
      <c r="T94" t="s">
        <v>555</v>
      </c>
      <c r="U94" t="str">
        <f t="shared" si="4"/>
        <v>["42b1da9c-72f8-4155-92c5-01b01696b1b7"]</v>
      </c>
      <c r="V94" t="str">
        <f t="shared" si="5"/>
        <v/>
      </c>
      <c r="W94" t="str">
        <f t="shared" si="6"/>
        <v/>
      </c>
      <c r="X94" t="str">
        <f t="shared" si="7"/>
        <v/>
      </c>
    </row>
    <row r="95" spans="1:24" ht="409.5" x14ac:dyDescent="0.25">
      <c r="A95" t="s">
        <v>556</v>
      </c>
      <c r="B95" t="s">
        <v>557</v>
      </c>
      <c r="C95" t="s">
        <v>558</v>
      </c>
      <c r="F95" s="2" t="s">
        <v>559</v>
      </c>
      <c r="L95" t="s">
        <v>24</v>
      </c>
      <c r="M95" t="s">
        <v>25</v>
      </c>
      <c r="O95" t="s">
        <v>26</v>
      </c>
      <c r="P95" t="s">
        <v>560</v>
      </c>
      <c r="Q95" t="s">
        <v>28</v>
      </c>
      <c r="R95" s="3">
        <v>41473.663680555554</v>
      </c>
      <c r="T95" t="s">
        <v>561</v>
      </c>
      <c r="U95" t="str">
        <f t="shared" si="4"/>
        <v>["9ecf5866-dbe8-4cb2-b156-5097c7eec01f", "36a8b9e9-909e-4605-a7ba-686ee3e1b8bf", "87f121a7-eef0-4be9-9372-a5efe5b4d375", "22add642-d849-48ff-9913-8c7ba2d99b46", "8b3b3cdf-2be6-4f0b-8c86-f6be67e5b002", "523ba2e4-8c55-4dde-8acf-39e3621811b0"]</v>
      </c>
      <c r="V95" t="str">
        <f t="shared" si="5"/>
        <v/>
      </c>
      <c r="W95" t="str">
        <f t="shared" si="6"/>
        <v/>
      </c>
      <c r="X95" t="str">
        <f t="shared" si="7"/>
        <v/>
      </c>
    </row>
    <row r="96" spans="1:24" x14ac:dyDescent="0.25">
      <c r="A96" t="s">
        <v>562</v>
      </c>
      <c r="B96" t="s">
        <v>563</v>
      </c>
      <c r="C96" t="s">
        <v>564</v>
      </c>
      <c r="F96" t="s">
        <v>565</v>
      </c>
      <c r="L96" t="s">
        <v>24</v>
      </c>
      <c r="M96" t="s">
        <v>25</v>
      </c>
      <c r="O96" t="s">
        <v>26</v>
      </c>
      <c r="P96" t="s">
        <v>566</v>
      </c>
      <c r="Q96" t="s">
        <v>28</v>
      </c>
      <c r="R96" s="3">
        <v>41430.64025462963</v>
      </c>
      <c r="T96" t="s">
        <v>567</v>
      </c>
      <c r="U96" t="str">
        <f t="shared" si="4"/>
        <v>["786d5be0-47ea-4c64-8299-2ee28b1ddfef"]</v>
      </c>
      <c r="V96" t="str">
        <f t="shared" si="5"/>
        <v/>
      </c>
      <c r="W96" t="str">
        <f t="shared" si="6"/>
        <v/>
      </c>
      <c r="X96" t="str">
        <f t="shared" si="7"/>
        <v/>
      </c>
    </row>
    <row r="97" spans="1:24" ht="409.5" x14ac:dyDescent="0.25">
      <c r="A97" t="s">
        <v>568</v>
      </c>
      <c r="B97" t="s">
        <v>569</v>
      </c>
      <c r="C97" t="s">
        <v>570</v>
      </c>
      <c r="F97" s="2" t="s">
        <v>571</v>
      </c>
      <c r="L97" t="s">
        <v>24</v>
      </c>
      <c r="M97" t="s">
        <v>25</v>
      </c>
      <c r="O97" t="s">
        <v>26</v>
      </c>
      <c r="P97" t="s">
        <v>572</v>
      </c>
      <c r="Q97" t="s">
        <v>28</v>
      </c>
      <c r="R97" s="3">
        <v>41667.451666666668</v>
      </c>
      <c r="T97" t="s">
        <v>29</v>
      </c>
      <c r="U97" t="str">
        <f t="shared" si="4"/>
        <v>[]</v>
      </c>
      <c r="V97" t="str">
        <f t="shared" si="5"/>
        <v/>
      </c>
      <c r="W97" t="str">
        <f t="shared" si="6"/>
        <v/>
      </c>
      <c r="X97" t="str">
        <f t="shared" si="7"/>
        <v/>
      </c>
    </row>
    <row r="98" spans="1:24" ht="409.5" x14ac:dyDescent="0.25">
      <c r="A98" t="s">
        <v>573</v>
      </c>
      <c r="B98" t="s">
        <v>574</v>
      </c>
      <c r="C98" t="s">
        <v>575</v>
      </c>
      <c r="F98" s="2" t="s">
        <v>576</v>
      </c>
      <c r="L98" t="s">
        <v>24</v>
      </c>
      <c r="M98" t="s">
        <v>25</v>
      </c>
      <c r="O98" t="s">
        <v>26</v>
      </c>
      <c r="P98" t="s">
        <v>577</v>
      </c>
      <c r="Q98" t="s">
        <v>28</v>
      </c>
      <c r="R98" s="3">
        <v>41457.657349537039</v>
      </c>
      <c r="T98" t="s">
        <v>578</v>
      </c>
      <c r="U98" t="str">
        <f t="shared" si="4"/>
        <v>["e4079286-310c-435a-af2d-64604ba9ade5", "9ecf5866-dbe8-4cb2-b156-5097c7eec01f"]</v>
      </c>
      <c r="V98" t="str">
        <f t="shared" si="5"/>
        <v/>
      </c>
      <c r="W98" t="str">
        <f t="shared" si="6"/>
        <v/>
      </c>
      <c r="X98" t="str">
        <f t="shared" si="7"/>
        <v/>
      </c>
    </row>
    <row r="99" spans="1:24" ht="409.5" x14ac:dyDescent="0.25">
      <c r="A99" t="s">
        <v>579</v>
      </c>
      <c r="B99" t="s">
        <v>580</v>
      </c>
      <c r="C99" t="s">
        <v>581</v>
      </c>
      <c r="F99" s="2" t="s">
        <v>582</v>
      </c>
      <c r="L99" t="s">
        <v>24</v>
      </c>
      <c r="M99" t="s">
        <v>25</v>
      </c>
      <c r="O99" t="s">
        <v>26</v>
      </c>
      <c r="P99" t="s">
        <v>583</v>
      </c>
      <c r="Q99" t="s">
        <v>28</v>
      </c>
      <c r="R99" s="3">
        <v>41323.39980324074</v>
      </c>
      <c r="T99" t="s">
        <v>584</v>
      </c>
      <c r="U99" t="str">
        <f t="shared" si="4"/>
        <v>["36886c25-6961-4055-96b2-b3e8b138e588"]</v>
      </c>
      <c r="V99" t="str">
        <f t="shared" si="5"/>
        <v/>
      </c>
      <c r="W99" t="str">
        <f t="shared" si="6"/>
        <v/>
      </c>
      <c r="X99" t="str">
        <f t="shared" si="7"/>
        <v/>
      </c>
    </row>
    <row r="100" spans="1:24" ht="409.5" x14ac:dyDescent="0.25">
      <c r="A100" t="s">
        <v>585</v>
      </c>
      <c r="B100" t="s">
        <v>586</v>
      </c>
      <c r="C100" t="s">
        <v>587</v>
      </c>
      <c r="F100" s="2" t="s">
        <v>588</v>
      </c>
      <c r="L100" t="s">
        <v>24</v>
      </c>
      <c r="M100" t="s">
        <v>25</v>
      </c>
      <c r="O100" t="s">
        <v>26</v>
      </c>
      <c r="P100" t="s">
        <v>589</v>
      </c>
      <c r="Q100" t="s">
        <v>28</v>
      </c>
      <c r="R100" s="3">
        <v>41523.376597222225</v>
      </c>
      <c r="T100" t="s">
        <v>590</v>
      </c>
      <c r="U100" t="str">
        <f t="shared" si="4"/>
        <v>["522d3045-0b37-48d0-b868-57c99726b1c4", "9c203fec-dc0d-412c-a7a3-7fd77d0346f1"]</v>
      </c>
      <c r="V100" t="str">
        <f t="shared" si="5"/>
        <v/>
      </c>
      <c r="W100" t="str">
        <f t="shared" si="6"/>
        <v/>
      </c>
      <c r="X100" t="str">
        <f t="shared" si="7"/>
        <v/>
      </c>
    </row>
    <row r="101" spans="1:24" x14ac:dyDescent="0.25">
      <c r="A101" t="s">
        <v>591</v>
      </c>
      <c r="B101" t="s">
        <v>592</v>
      </c>
      <c r="C101" t="s">
        <v>593</v>
      </c>
      <c r="F101" t="s">
        <v>594</v>
      </c>
      <c r="L101" t="s">
        <v>24</v>
      </c>
      <c r="M101" t="s">
        <v>25</v>
      </c>
      <c r="O101" t="s">
        <v>26</v>
      </c>
      <c r="P101" t="s">
        <v>595</v>
      </c>
      <c r="Q101" t="s">
        <v>28</v>
      </c>
      <c r="R101" s="3">
        <v>41548.561608796299</v>
      </c>
      <c r="T101" t="s">
        <v>596</v>
      </c>
      <c r="U101" t="str">
        <f t="shared" si="4"/>
        <v>["9fd80fda-bc9d-4f9e-8349-96416468a69f"]</v>
      </c>
      <c r="V101" t="str">
        <f t="shared" si="5"/>
        <v/>
      </c>
      <c r="W101" t="str">
        <f t="shared" si="6"/>
        <v/>
      </c>
      <c r="X101" t="str">
        <f t="shared" si="7"/>
        <v/>
      </c>
    </row>
    <row r="102" spans="1:24" ht="409.5" x14ac:dyDescent="0.25">
      <c r="A102" t="s">
        <v>597</v>
      </c>
      <c r="B102" t="s">
        <v>598</v>
      </c>
      <c r="C102" t="s">
        <v>599</v>
      </c>
      <c r="F102" s="2" t="s">
        <v>600</v>
      </c>
      <c r="L102" t="s">
        <v>24</v>
      </c>
      <c r="M102" t="s">
        <v>25</v>
      </c>
      <c r="O102" t="s">
        <v>26</v>
      </c>
      <c r="P102" t="s">
        <v>601</v>
      </c>
      <c r="Q102" t="s">
        <v>28</v>
      </c>
      <c r="R102" s="3">
        <v>41526.371990740743</v>
      </c>
      <c r="T102" t="s">
        <v>602</v>
      </c>
      <c r="U102" t="str">
        <f t="shared" si="4"/>
        <v>["522d3045-0b37-48d0-b868-57c99726b1c4", "21fca925-12ac-4215-ba1a-a9c73cb3b082", "523ba2e4-8c55-4dde-8acf-39e3621811b0", "9c203fec-dc0d-412c-a7a3-7fd77d0346f1"]</v>
      </c>
      <c r="V102" t="str">
        <f t="shared" si="5"/>
        <v/>
      </c>
      <c r="W102" t="str">
        <f t="shared" si="6"/>
        <v/>
      </c>
      <c r="X102" t="str">
        <f t="shared" si="7"/>
        <v/>
      </c>
    </row>
    <row r="103" spans="1:24" ht="409.5" x14ac:dyDescent="0.25">
      <c r="A103" t="s">
        <v>603</v>
      </c>
      <c r="B103" t="s">
        <v>604</v>
      </c>
      <c r="C103" t="s">
        <v>605</v>
      </c>
      <c r="F103" s="2" t="s">
        <v>606</v>
      </c>
      <c r="L103" t="s">
        <v>24</v>
      </c>
      <c r="M103" t="s">
        <v>25</v>
      </c>
      <c r="O103" t="s">
        <v>26</v>
      </c>
      <c r="P103" t="s">
        <v>607</v>
      </c>
      <c r="Q103" t="s">
        <v>28</v>
      </c>
      <c r="R103" s="3">
        <v>41681.605787037035</v>
      </c>
      <c r="T103" t="s">
        <v>347</v>
      </c>
      <c r="U103" t="str">
        <f t="shared" si="4"/>
        <v>["298e6b5a-21a8-4d56-9484-1bac58c94a26"]</v>
      </c>
      <c r="V103" t="str">
        <f t="shared" si="5"/>
        <v/>
      </c>
      <c r="W103" t="str">
        <f t="shared" si="6"/>
        <v/>
      </c>
      <c r="X103" t="str">
        <f t="shared" si="7"/>
        <v/>
      </c>
    </row>
    <row r="104" spans="1:24" ht="409.5" x14ac:dyDescent="0.25">
      <c r="A104" t="s">
        <v>608</v>
      </c>
      <c r="B104" t="s">
        <v>609</v>
      </c>
      <c r="C104" t="s">
        <v>610</v>
      </c>
      <c r="F104" s="2" t="s">
        <v>611</v>
      </c>
      <c r="L104" t="s">
        <v>24</v>
      </c>
      <c r="M104" t="s">
        <v>25</v>
      </c>
      <c r="O104" t="s">
        <v>26</v>
      </c>
      <c r="P104" t="s">
        <v>612</v>
      </c>
      <c r="Q104" t="s">
        <v>28</v>
      </c>
      <c r="R104" s="3">
        <v>41687.273668981485</v>
      </c>
      <c r="T104" t="s">
        <v>613</v>
      </c>
      <c r="U104" t="str">
        <f t="shared" si="4"/>
        <v>["bd8b518b-d812-46f9-b367-4c1b660cfc99"]</v>
      </c>
      <c r="V104" t="str">
        <f t="shared" si="5"/>
        <v/>
      </c>
      <c r="W104" t="str">
        <f t="shared" si="6"/>
        <v/>
      </c>
      <c r="X104" t="str">
        <f t="shared" si="7"/>
        <v/>
      </c>
    </row>
    <row r="105" spans="1:24" ht="409.5" x14ac:dyDescent="0.25">
      <c r="A105" t="s">
        <v>614</v>
      </c>
      <c r="B105" t="s">
        <v>615</v>
      </c>
      <c r="C105" t="s">
        <v>616</v>
      </c>
      <c r="F105" s="2" t="s">
        <v>617</v>
      </c>
      <c r="L105" t="s">
        <v>24</v>
      </c>
      <c r="M105" t="s">
        <v>25</v>
      </c>
      <c r="O105" t="s">
        <v>26</v>
      </c>
      <c r="P105" t="s">
        <v>618</v>
      </c>
      <c r="Q105" t="s">
        <v>28</v>
      </c>
      <c r="R105" s="3">
        <v>41576.445879629631</v>
      </c>
      <c r="T105" t="s">
        <v>590</v>
      </c>
      <c r="U105" t="str">
        <f t="shared" si="4"/>
        <v>["522d3045-0b37-48d0-b868-57c99726b1c4", "9c203fec-dc0d-412c-a7a3-7fd77d0346f1"]</v>
      </c>
      <c r="V105" t="str">
        <f t="shared" si="5"/>
        <v/>
      </c>
      <c r="W105" t="str">
        <f t="shared" si="6"/>
        <v/>
      </c>
      <c r="X105" t="str">
        <f t="shared" si="7"/>
        <v/>
      </c>
    </row>
    <row r="106" spans="1:24" ht="409.5" x14ac:dyDescent="0.25">
      <c r="A106" t="s">
        <v>619</v>
      </c>
      <c r="B106" t="s">
        <v>620</v>
      </c>
      <c r="C106" t="s">
        <v>621</v>
      </c>
      <c r="F106" s="2" t="s">
        <v>622</v>
      </c>
      <c r="L106" t="s">
        <v>24</v>
      </c>
      <c r="M106" t="s">
        <v>25</v>
      </c>
      <c r="O106" t="s">
        <v>26</v>
      </c>
      <c r="P106" t="s">
        <v>623</v>
      </c>
      <c r="Q106" t="s">
        <v>28</v>
      </c>
      <c r="R106" s="3">
        <v>41752.489988425928</v>
      </c>
      <c r="T106" t="s">
        <v>624</v>
      </c>
      <c r="U106" t="str">
        <f t="shared" si="4"/>
        <v>["d3c0a223-516b-4049-9370-22881a0428d8", "9c203fec-dc0d-412c-a7a3-7fd77d0346f1"]</v>
      </c>
      <c r="V106" t="str">
        <f t="shared" si="5"/>
        <v/>
      </c>
      <c r="W106" t="str">
        <f t="shared" si="6"/>
        <v/>
      </c>
      <c r="X106" t="str">
        <f t="shared" si="7"/>
        <v/>
      </c>
    </row>
    <row r="107" spans="1:24" ht="409.5" x14ac:dyDescent="0.25">
      <c r="A107" t="s">
        <v>625</v>
      </c>
      <c r="B107" t="s">
        <v>626</v>
      </c>
      <c r="C107" t="s">
        <v>627</v>
      </c>
      <c r="F107" s="2" t="s">
        <v>628</v>
      </c>
      <c r="L107" t="s">
        <v>24</v>
      </c>
      <c r="M107" t="s">
        <v>25</v>
      </c>
      <c r="O107" t="s">
        <v>26</v>
      </c>
      <c r="P107" t="s">
        <v>629</v>
      </c>
      <c r="Q107" t="s">
        <v>28</v>
      </c>
      <c r="R107" s="3">
        <v>41681.617986111109</v>
      </c>
      <c r="T107" t="s">
        <v>93</v>
      </c>
      <c r="U107" t="str">
        <f t="shared" si="4"/>
        <v>["898afe8c-0297-45d6-b4b5-0cb9e632094b"]</v>
      </c>
      <c r="V107" t="str">
        <f t="shared" si="5"/>
        <v/>
      </c>
      <c r="W107" t="str">
        <f t="shared" si="6"/>
        <v/>
      </c>
      <c r="X107" t="str">
        <f t="shared" si="7"/>
        <v/>
      </c>
    </row>
    <row r="108" spans="1:24" ht="409.5" x14ac:dyDescent="0.25">
      <c r="A108" t="s">
        <v>630</v>
      </c>
      <c r="B108" t="s">
        <v>631</v>
      </c>
      <c r="C108" t="s">
        <v>632</v>
      </c>
      <c r="F108" s="2" t="s">
        <v>633</v>
      </c>
      <c r="L108" t="s">
        <v>24</v>
      </c>
      <c r="M108" t="s">
        <v>25</v>
      </c>
      <c r="O108" t="s">
        <v>26</v>
      </c>
      <c r="P108" t="s">
        <v>634</v>
      </c>
      <c r="Q108" t="s">
        <v>28</v>
      </c>
      <c r="R108" s="3">
        <v>41528.508703703701</v>
      </c>
      <c r="T108" t="s">
        <v>29</v>
      </c>
      <c r="U108" t="str">
        <f t="shared" si="4"/>
        <v>[]</v>
      </c>
      <c r="V108" t="str">
        <f t="shared" si="5"/>
        <v/>
      </c>
      <c r="W108" t="str">
        <f t="shared" si="6"/>
        <v/>
      </c>
      <c r="X108" t="str">
        <f t="shared" si="7"/>
        <v/>
      </c>
    </row>
    <row r="109" spans="1:24" x14ac:dyDescent="0.25">
      <c r="A109" t="s">
        <v>635</v>
      </c>
      <c r="B109" t="s">
        <v>636</v>
      </c>
      <c r="C109" t="s">
        <v>637</v>
      </c>
      <c r="F109" t="s">
        <v>638</v>
      </c>
      <c r="L109" t="s">
        <v>24</v>
      </c>
      <c r="M109" t="s">
        <v>25</v>
      </c>
      <c r="O109" t="s">
        <v>26</v>
      </c>
      <c r="P109" t="s">
        <v>639</v>
      </c>
      <c r="Q109" t="s">
        <v>28</v>
      </c>
      <c r="R109" s="3">
        <v>41525.365173611113</v>
      </c>
      <c r="T109" t="s">
        <v>433</v>
      </c>
      <c r="U109" t="str">
        <f t="shared" si="4"/>
        <v>["2c54f4d6-5712-4e5a-a025-b7f7a396c39b"]</v>
      </c>
      <c r="V109" t="str">
        <f t="shared" si="5"/>
        <v/>
      </c>
      <c r="W109" t="str">
        <f t="shared" si="6"/>
        <v/>
      </c>
      <c r="X109" t="str">
        <f t="shared" si="7"/>
        <v/>
      </c>
    </row>
    <row r="110" spans="1:24" x14ac:dyDescent="0.25">
      <c r="A110" t="s">
        <v>640</v>
      </c>
      <c r="B110" t="s">
        <v>641</v>
      </c>
      <c r="C110" t="s">
        <v>642</v>
      </c>
      <c r="F110" t="s">
        <v>643</v>
      </c>
      <c r="L110" t="s">
        <v>24</v>
      </c>
      <c r="M110" t="s">
        <v>25</v>
      </c>
      <c r="O110" t="s">
        <v>26</v>
      </c>
      <c r="P110" t="s">
        <v>644</v>
      </c>
      <c r="Q110" t="s">
        <v>28</v>
      </c>
      <c r="R110" s="3">
        <v>41549.531087962961</v>
      </c>
      <c r="T110" t="s">
        <v>645</v>
      </c>
      <c r="U110" t="str">
        <f t="shared" si="4"/>
        <v>["aa8876c7-9711-4969-b428-34400f2d0dbe", "6858b208-62bc-424e-9d7b-c89b74d3d3e3", "71a6ca86-228a-4b57-b1bc-c3b887dd009e"]</v>
      </c>
      <c r="V110" t="str">
        <f t="shared" si="5"/>
        <v/>
      </c>
      <c r="W110" t="str">
        <f t="shared" si="6"/>
        <v/>
      </c>
      <c r="X110" t="str">
        <f t="shared" si="7"/>
        <v/>
      </c>
    </row>
    <row r="111" spans="1:24" x14ac:dyDescent="0.25">
      <c r="A111" t="s">
        <v>646</v>
      </c>
      <c r="B111" t="s">
        <v>647</v>
      </c>
      <c r="C111" t="s">
        <v>648</v>
      </c>
      <c r="F111" t="s">
        <v>649</v>
      </c>
      <c r="L111" t="s">
        <v>24</v>
      </c>
      <c r="M111" t="s">
        <v>25</v>
      </c>
      <c r="O111" t="s">
        <v>26</v>
      </c>
      <c r="P111" t="s">
        <v>650</v>
      </c>
      <c r="Q111" t="s">
        <v>28</v>
      </c>
      <c r="R111" s="3">
        <v>41562.674837962964</v>
      </c>
      <c r="T111" t="s">
        <v>651</v>
      </c>
      <c r="U111" t="str">
        <f t="shared" si="4"/>
        <v>["146384fc-3f64-4482-a78a-2f082411a27d", "3ff63cf5-8d04-4be5-9449-96411ae9fc36", "2adc5a86-faa3-4b63-acff-a66128b811b7"]</v>
      </c>
      <c r="V111" t="str">
        <f t="shared" si="5"/>
        <v/>
      </c>
      <c r="W111" t="str">
        <f t="shared" si="6"/>
        <v/>
      </c>
      <c r="X111" t="str">
        <f t="shared" si="7"/>
        <v/>
      </c>
    </row>
    <row r="112" spans="1:24" x14ac:dyDescent="0.25">
      <c r="A112" t="s">
        <v>652</v>
      </c>
      <c r="B112" t="s">
        <v>653</v>
      </c>
      <c r="C112" t="s">
        <v>654</v>
      </c>
      <c r="F112" t="s">
        <v>655</v>
      </c>
      <c r="L112" t="s">
        <v>24</v>
      </c>
      <c r="M112" t="s">
        <v>25</v>
      </c>
      <c r="O112" t="s">
        <v>26</v>
      </c>
      <c r="P112" t="s">
        <v>656</v>
      </c>
      <c r="Q112" t="s">
        <v>28</v>
      </c>
      <c r="R112" s="3">
        <v>41660.310173611113</v>
      </c>
      <c r="T112" t="s">
        <v>657</v>
      </c>
      <c r="U112" t="str">
        <f t="shared" si="4"/>
        <v>["54171a40-1cfd-11e2-892e-0800200c9a66"]</v>
      </c>
      <c r="V112" t="str">
        <f t="shared" si="5"/>
        <v/>
      </c>
      <c r="W112" t="str">
        <f t="shared" si="6"/>
        <v/>
      </c>
      <c r="X112" t="str">
        <f t="shared" si="7"/>
        <v/>
      </c>
    </row>
    <row r="113" spans="1:24" ht="409.5" x14ac:dyDescent="0.25">
      <c r="A113" t="s">
        <v>658</v>
      </c>
      <c r="B113" t="s">
        <v>659</v>
      </c>
      <c r="C113" t="s">
        <v>660</v>
      </c>
      <c r="F113" s="2" t="s">
        <v>661</v>
      </c>
      <c r="L113" t="s">
        <v>24</v>
      </c>
      <c r="M113" t="s">
        <v>25</v>
      </c>
      <c r="O113" t="s">
        <v>26</v>
      </c>
      <c r="P113" t="s">
        <v>662</v>
      </c>
      <c r="Q113" t="s">
        <v>28</v>
      </c>
      <c r="R113" s="3">
        <v>41548.557164351849</v>
      </c>
      <c r="T113" t="s">
        <v>663</v>
      </c>
      <c r="U113" t="str">
        <f t="shared" si="4"/>
        <v>["71084c02-973d-4544-b804-7ed82bd53027"]</v>
      </c>
      <c r="V113" t="str">
        <f t="shared" si="5"/>
        <v/>
      </c>
      <c r="W113" t="str">
        <f t="shared" si="6"/>
        <v/>
      </c>
      <c r="X113" t="str">
        <f t="shared" si="7"/>
        <v/>
      </c>
    </row>
    <row r="114" spans="1:24" x14ac:dyDescent="0.25">
      <c r="A114" t="s">
        <v>664</v>
      </c>
      <c r="B114" t="s">
        <v>665</v>
      </c>
      <c r="C114" t="s">
        <v>666</v>
      </c>
      <c r="F114" t="s">
        <v>667</v>
      </c>
      <c r="L114" t="s">
        <v>24</v>
      </c>
      <c r="M114" t="s">
        <v>25</v>
      </c>
      <c r="O114" t="s">
        <v>26</v>
      </c>
      <c r="P114" t="s">
        <v>668</v>
      </c>
      <c r="Q114" t="s">
        <v>28</v>
      </c>
      <c r="R114" s="3">
        <v>41549.387673611112</v>
      </c>
      <c r="T114" t="s">
        <v>99</v>
      </c>
      <c r="U114" t="str">
        <f t="shared" si="4"/>
        <v>["c91a4635-8b7d-43fe-9b27-d95dec8392a7"]</v>
      </c>
      <c r="V114" t="str">
        <f t="shared" si="5"/>
        <v/>
      </c>
      <c r="W114" t="str">
        <f t="shared" si="6"/>
        <v/>
      </c>
      <c r="X114" t="str">
        <f t="shared" si="7"/>
        <v/>
      </c>
    </row>
    <row r="115" spans="1:24" ht="409.5" x14ac:dyDescent="0.25">
      <c r="A115" t="s">
        <v>669</v>
      </c>
      <c r="B115" t="s">
        <v>670</v>
      </c>
      <c r="C115" t="s">
        <v>671</v>
      </c>
      <c r="F115" s="2" t="s">
        <v>672</v>
      </c>
      <c r="L115" t="s">
        <v>24</v>
      </c>
      <c r="M115" t="s">
        <v>25</v>
      </c>
      <c r="O115" t="s">
        <v>26</v>
      </c>
      <c r="P115" t="s">
        <v>673</v>
      </c>
      <c r="Q115" t="s">
        <v>28</v>
      </c>
      <c r="R115" s="3">
        <v>41551.359918981485</v>
      </c>
      <c r="T115" t="s">
        <v>674</v>
      </c>
      <c r="U115" t="str">
        <f t="shared" si="4"/>
        <v>["522d3045-0b37-48d0-b868-57c99726b1c4"]</v>
      </c>
      <c r="V115" t="str">
        <f t="shared" si="5"/>
        <v/>
      </c>
      <c r="W115" t="str">
        <f t="shared" si="6"/>
        <v/>
      </c>
      <c r="X115" t="str">
        <f t="shared" si="7"/>
        <v/>
      </c>
    </row>
    <row r="116" spans="1:24" ht="409.5" x14ac:dyDescent="0.25">
      <c r="A116" t="s">
        <v>675</v>
      </c>
      <c r="B116" t="s">
        <v>676</v>
      </c>
      <c r="C116" t="s">
        <v>677</v>
      </c>
      <c r="F116" s="2" t="s">
        <v>678</v>
      </c>
      <c r="L116" t="s">
        <v>24</v>
      </c>
      <c r="M116" t="s">
        <v>25</v>
      </c>
      <c r="O116" t="s">
        <v>26</v>
      </c>
      <c r="P116" t="s">
        <v>679</v>
      </c>
      <c r="Q116" t="s">
        <v>28</v>
      </c>
      <c r="R116" s="3">
        <v>41555.502650462964</v>
      </c>
      <c r="T116" t="s">
        <v>29</v>
      </c>
      <c r="U116" t="str">
        <f t="shared" si="4"/>
        <v>[]</v>
      </c>
      <c r="V116" t="str">
        <f t="shared" si="5"/>
        <v/>
      </c>
      <c r="W116" t="str">
        <f t="shared" si="6"/>
        <v/>
      </c>
      <c r="X116" t="str">
        <f t="shared" si="7"/>
        <v/>
      </c>
    </row>
    <row r="117" spans="1:24" x14ac:dyDescent="0.25">
      <c r="A117" t="s">
        <v>680</v>
      </c>
      <c r="B117" t="s">
        <v>681</v>
      </c>
      <c r="C117" t="s">
        <v>682</v>
      </c>
      <c r="F117" t="s">
        <v>683</v>
      </c>
      <c r="L117" t="s">
        <v>24</v>
      </c>
      <c r="M117" t="s">
        <v>25</v>
      </c>
      <c r="O117" t="s">
        <v>26</v>
      </c>
      <c r="P117" t="s">
        <v>684</v>
      </c>
      <c r="Q117" t="s">
        <v>28</v>
      </c>
      <c r="R117" s="3">
        <v>41568.570127314815</v>
      </c>
      <c r="T117" t="s">
        <v>685</v>
      </c>
      <c r="U117" t="str">
        <f t="shared" si="4"/>
        <v>["87f121a7-eef0-4be9-9372-a5efe5b4d375", "c1ba372b-dba2-4bce-b72e-b5c832eaaf44", "bd8b518b-d812-46f9-b367-4c1b660cfc99", "22add642-d849-48ff-9913-8c7ba2d99b46", "2adc5a86-faa3-4b63-acff-a66128b811b7", "7fcf7f09-12d7-4b06-a183-93c51f940670", "71084c02-973d-4544-b804-7ed82bd53027", "28a7419c-f432-4e1a-b0a6-aa9e71968a14", "72fbf32e-c8c3-4914-92a1-66dc2439a114", "523ba2e4-8c55-4dde-8acf-39e3621811b0", "627a9226-a907-4018-89e3-878002a9d22b", "298e6b5a-21a8-4d56-9484-1bac58c94a26", "898afe8c-0297-45d6-b4b5-0cb9e632094b"]</v>
      </c>
      <c r="V117" t="str">
        <f t="shared" si="5"/>
        <v/>
      </c>
      <c r="W117" t="str">
        <f t="shared" si="6"/>
        <v/>
      </c>
      <c r="X117" t="str">
        <f t="shared" si="7"/>
        <v/>
      </c>
    </row>
    <row r="118" spans="1:24" x14ac:dyDescent="0.25">
      <c r="A118" t="s">
        <v>686</v>
      </c>
      <c r="B118" t="s">
        <v>687</v>
      </c>
      <c r="C118" t="s">
        <v>688</v>
      </c>
      <c r="F118" t="s">
        <v>689</v>
      </c>
      <c r="L118" t="s">
        <v>24</v>
      </c>
      <c r="M118" t="s">
        <v>25</v>
      </c>
      <c r="O118" t="s">
        <v>26</v>
      </c>
      <c r="P118" t="s">
        <v>690</v>
      </c>
      <c r="Q118" t="s">
        <v>28</v>
      </c>
      <c r="R118" s="3">
        <v>42115.610625000001</v>
      </c>
      <c r="T118" t="s">
        <v>99</v>
      </c>
      <c r="U118" t="str">
        <f t="shared" si="4"/>
        <v>["c91a4635-8b7d-43fe-9b27-d95dec8392a7"]</v>
      </c>
      <c r="V118" t="str">
        <f t="shared" si="5"/>
        <v/>
      </c>
      <c r="W118" t="str">
        <f t="shared" si="6"/>
        <v/>
      </c>
      <c r="X118" t="str">
        <f t="shared" si="7"/>
        <v/>
      </c>
    </row>
    <row r="119" spans="1:24" ht="409.5" x14ac:dyDescent="0.25">
      <c r="A119" t="s">
        <v>691</v>
      </c>
      <c r="B119" t="s">
        <v>692</v>
      </c>
      <c r="C119" t="s">
        <v>693</v>
      </c>
      <c r="F119" s="2" t="s">
        <v>694</v>
      </c>
      <c r="L119" t="s">
        <v>24</v>
      </c>
      <c r="M119" t="s">
        <v>25</v>
      </c>
      <c r="O119" t="s">
        <v>26</v>
      </c>
      <c r="P119" t="s">
        <v>695</v>
      </c>
      <c r="Q119" t="s">
        <v>28</v>
      </c>
      <c r="R119" s="3">
        <v>41681.642465277779</v>
      </c>
      <c r="T119" t="s">
        <v>696</v>
      </c>
      <c r="U119" t="str">
        <f t="shared" si="4"/>
        <v>["5e6175cd-dc44-4b32-a64a-1ac4239a6e4a"]</v>
      </c>
      <c r="V119" t="str">
        <f t="shared" si="5"/>
        <v/>
      </c>
      <c r="W119" t="str">
        <f t="shared" si="6"/>
        <v/>
      </c>
      <c r="X119" t="str">
        <f t="shared" si="7"/>
        <v/>
      </c>
    </row>
    <row r="120" spans="1:24" x14ac:dyDescent="0.25">
      <c r="A120" t="s">
        <v>697</v>
      </c>
      <c r="B120" t="s">
        <v>698</v>
      </c>
      <c r="C120" t="s">
        <v>699</v>
      </c>
      <c r="F120" t="s">
        <v>700</v>
      </c>
      <c r="L120" t="s">
        <v>24</v>
      </c>
      <c r="M120" t="s">
        <v>25</v>
      </c>
      <c r="O120" t="s">
        <v>26</v>
      </c>
      <c r="P120" t="s">
        <v>701</v>
      </c>
      <c r="Q120" t="s">
        <v>28</v>
      </c>
      <c r="R120" s="3">
        <v>41606.686099537037</v>
      </c>
      <c r="T120" t="s">
        <v>702</v>
      </c>
      <c r="U120" t="str">
        <f t="shared" si="4"/>
        <v>["b77d0b46-306c-46da-b26d-6e4dd718fde7", "bd8b518b-d812-46f9-b367-4c1b660cfc99"]</v>
      </c>
      <c r="V120" t="str">
        <f t="shared" si="5"/>
        <v/>
      </c>
      <c r="W120" t="str">
        <f t="shared" si="6"/>
        <v/>
      </c>
      <c r="X120" t="str">
        <f t="shared" si="7"/>
        <v/>
      </c>
    </row>
    <row r="121" spans="1:24" ht="409.5" x14ac:dyDescent="0.25">
      <c r="A121" t="s">
        <v>703</v>
      </c>
      <c r="B121" t="s">
        <v>704</v>
      </c>
      <c r="C121" t="s">
        <v>705</v>
      </c>
      <c r="F121" s="2" t="s">
        <v>706</v>
      </c>
      <c r="L121" t="s">
        <v>24</v>
      </c>
      <c r="M121" t="s">
        <v>25</v>
      </c>
      <c r="O121" t="s">
        <v>26</v>
      </c>
      <c r="P121" t="s">
        <v>707</v>
      </c>
      <c r="Q121" t="s">
        <v>28</v>
      </c>
      <c r="R121" s="3">
        <v>41582.717534722222</v>
      </c>
      <c r="T121" t="s">
        <v>708</v>
      </c>
      <c r="U121" t="str">
        <f t="shared" si="4"/>
        <v>["e454bf6a-3321-4a86-998a-af61123eb056", "ba4b775e-6073-402d-9210-509125f6c5a3"]</v>
      </c>
      <c r="V121" t="str">
        <f t="shared" si="5"/>
        <v/>
      </c>
      <c r="W121" t="str">
        <f t="shared" si="6"/>
        <v/>
      </c>
      <c r="X121" t="str">
        <f t="shared" si="7"/>
        <v/>
      </c>
    </row>
    <row r="122" spans="1:24" x14ac:dyDescent="0.25">
      <c r="A122" t="s">
        <v>709</v>
      </c>
      <c r="B122" t="s">
        <v>710</v>
      </c>
      <c r="C122" t="s">
        <v>711</v>
      </c>
      <c r="F122" t="s">
        <v>712</v>
      </c>
      <c r="L122" t="s">
        <v>24</v>
      </c>
      <c r="M122" t="s">
        <v>25</v>
      </c>
      <c r="O122" t="s">
        <v>26</v>
      </c>
      <c r="P122" t="s">
        <v>713</v>
      </c>
      <c r="Q122" t="s">
        <v>28</v>
      </c>
      <c r="R122" s="3">
        <v>41635.417233796295</v>
      </c>
      <c r="T122" t="s">
        <v>29</v>
      </c>
      <c r="U122" t="str">
        <f t="shared" si="4"/>
        <v>[]</v>
      </c>
      <c r="V122" t="str">
        <f t="shared" si="5"/>
        <v/>
      </c>
      <c r="W122" t="str">
        <f t="shared" si="6"/>
        <v/>
      </c>
      <c r="X122" t="str">
        <f t="shared" si="7"/>
        <v/>
      </c>
    </row>
    <row r="123" spans="1:24" ht="409.5" x14ac:dyDescent="0.25">
      <c r="A123" t="s">
        <v>714</v>
      </c>
      <c r="B123" t="s">
        <v>715</v>
      </c>
      <c r="C123" t="s">
        <v>716</v>
      </c>
      <c r="F123" s="2" t="s">
        <v>717</v>
      </c>
      <c r="L123" t="s">
        <v>24</v>
      </c>
      <c r="M123" t="s">
        <v>25</v>
      </c>
      <c r="O123" t="s">
        <v>26</v>
      </c>
      <c r="P123" t="s">
        <v>718</v>
      </c>
      <c r="Q123" t="s">
        <v>28</v>
      </c>
      <c r="R123" s="3">
        <v>41661.313564814816</v>
      </c>
      <c r="T123" t="s">
        <v>719</v>
      </c>
      <c r="U123" t="str">
        <f t="shared" si="4"/>
        <v>["2c54f4d6-5712-4e5a-a025-b7f7a396c39b", "6b927530-d5c9-11e3-9c1a-0800200c9a66"]</v>
      </c>
      <c r="V123" t="str">
        <f t="shared" si="5"/>
        <v/>
      </c>
      <c r="W123" t="str">
        <f t="shared" si="6"/>
        <v/>
      </c>
      <c r="X123" t="str">
        <f t="shared" si="7"/>
        <v/>
      </c>
    </row>
    <row r="124" spans="1:24" ht="409.5" x14ac:dyDescent="0.25">
      <c r="A124" t="s">
        <v>720</v>
      </c>
      <c r="B124" t="s">
        <v>721</v>
      </c>
      <c r="C124" t="s">
        <v>722</v>
      </c>
      <c r="F124" s="2" t="s">
        <v>723</v>
      </c>
      <c r="L124" t="s">
        <v>24</v>
      </c>
      <c r="M124" t="s">
        <v>25</v>
      </c>
      <c r="O124" t="s">
        <v>26</v>
      </c>
      <c r="P124" t="s">
        <v>724</v>
      </c>
      <c r="Q124" t="s">
        <v>28</v>
      </c>
      <c r="R124" s="3">
        <v>41694.416250000002</v>
      </c>
      <c r="T124" t="s">
        <v>29</v>
      </c>
      <c r="U124" t="str">
        <f t="shared" si="4"/>
        <v>[]</v>
      </c>
      <c r="V124" t="str">
        <f t="shared" si="5"/>
        <v/>
      </c>
      <c r="W124" t="str">
        <f t="shared" si="6"/>
        <v/>
      </c>
      <c r="X124" t="str">
        <f t="shared" si="7"/>
        <v/>
      </c>
    </row>
    <row r="125" spans="1:24" ht="409.5" x14ac:dyDescent="0.25">
      <c r="A125" t="s">
        <v>725</v>
      </c>
      <c r="B125" t="s">
        <v>726</v>
      </c>
      <c r="C125" t="s">
        <v>727</v>
      </c>
      <c r="F125" s="2" t="s">
        <v>728</v>
      </c>
      <c r="L125" t="s">
        <v>24</v>
      </c>
      <c r="M125" t="s">
        <v>25</v>
      </c>
      <c r="O125" t="s">
        <v>26</v>
      </c>
      <c r="P125" t="s">
        <v>729</v>
      </c>
      <c r="Q125" t="s">
        <v>28</v>
      </c>
      <c r="R125" s="3">
        <v>41681.640810185185</v>
      </c>
      <c r="T125" t="s">
        <v>613</v>
      </c>
      <c r="U125" t="str">
        <f t="shared" si="4"/>
        <v>["bd8b518b-d812-46f9-b367-4c1b660cfc99"]</v>
      </c>
      <c r="V125" t="str">
        <f t="shared" si="5"/>
        <v/>
      </c>
      <c r="W125" t="str">
        <f t="shared" si="6"/>
        <v/>
      </c>
      <c r="X125" t="str">
        <f t="shared" si="7"/>
        <v/>
      </c>
    </row>
    <row r="126" spans="1:24" ht="409.5" x14ac:dyDescent="0.25">
      <c r="A126" t="s">
        <v>730</v>
      </c>
      <c r="B126" t="s">
        <v>731</v>
      </c>
      <c r="C126" t="s">
        <v>732</v>
      </c>
      <c r="F126" s="2" t="s">
        <v>733</v>
      </c>
      <c r="L126" t="s">
        <v>24</v>
      </c>
      <c r="M126" t="s">
        <v>25</v>
      </c>
      <c r="O126" t="s">
        <v>26</v>
      </c>
      <c r="P126" t="s">
        <v>734</v>
      </c>
      <c r="Q126" t="s">
        <v>28</v>
      </c>
      <c r="R126" s="3">
        <v>41590.378067129626</v>
      </c>
      <c r="T126" t="s">
        <v>735</v>
      </c>
      <c r="U126" t="str">
        <f t="shared" si="4"/>
        <v>["7810e5a6-88c3-4a69-b7bd-5e69de753b88", "46e591f0-563b-4bdd-bbbd-13b92250edf9"]</v>
      </c>
      <c r="V126" t="str">
        <f t="shared" si="5"/>
        <v/>
      </c>
      <c r="W126" t="str">
        <f t="shared" si="6"/>
        <v/>
      </c>
      <c r="X126" t="str">
        <f t="shared" si="7"/>
        <v/>
      </c>
    </row>
    <row r="127" spans="1:24" ht="409.5" x14ac:dyDescent="0.25">
      <c r="A127" t="s">
        <v>736</v>
      </c>
      <c r="B127" t="s">
        <v>737</v>
      </c>
      <c r="C127" t="s">
        <v>738</v>
      </c>
      <c r="F127" s="2" t="s">
        <v>739</v>
      </c>
      <c r="L127" t="s">
        <v>24</v>
      </c>
      <c r="M127" t="s">
        <v>25</v>
      </c>
      <c r="O127" t="s">
        <v>26</v>
      </c>
      <c r="P127" t="s">
        <v>740</v>
      </c>
      <c r="Q127" t="s">
        <v>28</v>
      </c>
      <c r="R127" s="3">
        <v>41681.63082175926</v>
      </c>
      <c r="T127" t="s">
        <v>584</v>
      </c>
      <c r="U127" t="str">
        <f t="shared" si="4"/>
        <v>["36886c25-6961-4055-96b2-b3e8b138e588"]</v>
      </c>
      <c r="V127" t="str">
        <f t="shared" si="5"/>
        <v/>
      </c>
      <c r="W127" t="str">
        <f t="shared" si="6"/>
        <v/>
      </c>
      <c r="X127" t="str">
        <f t="shared" si="7"/>
        <v/>
      </c>
    </row>
    <row r="128" spans="1:24" ht="409.5" x14ac:dyDescent="0.25">
      <c r="A128" t="s">
        <v>741</v>
      </c>
      <c r="B128" t="s">
        <v>742</v>
      </c>
      <c r="C128" t="s">
        <v>743</v>
      </c>
      <c r="F128" s="2" t="s">
        <v>744</v>
      </c>
      <c r="L128" t="s">
        <v>24</v>
      </c>
      <c r="M128" t="s">
        <v>25</v>
      </c>
      <c r="O128" t="s">
        <v>26</v>
      </c>
      <c r="P128" t="s">
        <v>745</v>
      </c>
      <c r="Q128" t="s">
        <v>28</v>
      </c>
      <c r="R128" s="3">
        <v>41190.584085648145</v>
      </c>
      <c r="T128" t="s">
        <v>29</v>
      </c>
      <c r="U128" t="str">
        <f t="shared" si="4"/>
        <v>[]</v>
      </c>
      <c r="V128" t="str">
        <f t="shared" si="5"/>
        <v/>
      </c>
      <c r="W128" t="str">
        <f t="shared" si="6"/>
        <v/>
      </c>
      <c r="X128" t="str">
        <f t="shared" si="7"/>
        <v/>
      </c>
    </row>
    <row r="129" spans="1:24" ht="409.5" x14ac:dyDescent="0.25">
      <c r="A129" t="s">
        <v>746</v>
      </c>
      <c r="B129" t="s">
        <v>747</v>
      </c>
      <c r="C129" t="s">
        <v>748</v>
      </c>
      <c r="F129" s="2" t="s">
        <v>749</v>
      </c>
      <c r="L129" t="s">
        <v>24</v>
      </c>
      <c r="M129" t="s">
        <v>25</v>
      </c>
      <c r="O129" t="s">
        <v>26</v>
      </c>
      <c r="P129" t="s">
        <v>750</v>
      </c>
      <c r="Q129" t="s">
        <v>28</v>
      </c>
      <c r="R129" s="3">
        <v>41681.614594907405</v>
      </c>
      <c r="T129" t="s">
        <v>751</v>
      </c>
      <c r="U129" t="str">
        <f t="shared" si="4"/>
        <v>["2adc5a86-faa3-4b63-acff-a66128b811b7"]</v>
      </c>
      <c r="V129" t="str">
        <f t="shared" si="5"/>
        <v/>
      </c>
      <c r="W129" t="str">
        <f t="shared" si="6"/>
        <v/>
      </c>
      <c r="X129" t="str">
        <f t="shared" si="7"/>
        <v/>
      </c>
    </row>
    <row r="130" spans="1:24" ht="405" x14ac:dyDescent="0.25">
      <c r="A130" t="s">
        <v>752</v>
      </c>
      <c r="B130" t="s">
        <v>753</v>
      </c>
      <c r="C130" t="s">
        <v>754</v>
      </c>
      <c r="F130" s="2" t="s">
        <v>755</v>
      </c>
      <c r="L130" t="s">
        <v>24</v>
      </c>
      <c r="M130" t="s">
        <v>25</v>
      </c>
      <c r="O130" t="s">
        <v>26</v>
      </c>
      <c r="P130" t="s">
        <v>756</v>
      </c>
      <c r="Q130" t="s">
        <v>28</v>
      </c>
      <c r="R130" s="3">
        <v>41681.597696759258</v>
      </c>
      <c r="T130" t="s">
        <v>29</v>
      </c>
      <c r="U130" t="str">
        <f t="shared" si="4"/>
        <v>[]</v>
      </c>
      <c r="V130" t="str">
        <f t="shared" si="5"/>
        <v/>
      </c>
      <c r="W130" t="str">
        <f t="shared" si="6"/>
        <v/>
      </c>
      <c r="X130" t="str">
        <f t="shared" si="7"/>
        <v/>
      </c>
    </row>
    <row r="131" spans="1:24" x14ac:dyDescent="0.25">
      <c r="A131" t="s">
        <v>757</v>
      </c>
      <c r="B131" t="s">
        <v>758</v>
      </c>
      <c r="C131" t="s">
        <v>759</v>
      </c>
      <c r="F131" t="s">
        <v>760</v>
      </c>
      <c r="L131" t="s">
        <v>24</v>
      </c>
      <c r="M131" t="s">
        <v>25</v>
      </c>
      <c r="O131" t="s">
        <v>26</v>
      </c>
      <c r="P131" t="s">
        <v>761</v>
      </c>
      <c r="Q131" t="s">
        <v>28</v>
      </c>
      <c r="R131" s="3">
        <v>41593.546967592592</v>
      </c>
      <c r="T131" t="s">
        <v>762</v>
      </c>
      <c r="U131" t="str">
        <f t="shared" ref="U131:U194" si="8">LEFT(T131, 1024)</f>
        <v>["523ba2e4-8c55-4dde-8acf-39e3621811b0", "8e420764-a913-4eae-8514-9be858fdb9b3", "5f8ecd04-6e84-4ed7-b4d6-3632c5d2b8f4", "354f9aa0-2f0a-4cdf-9b60-d023da93cc76", "f4e80988-c139-4953-8176-b3d6d03f6449", "2ed52078-7e55-40ea-8036-0d89118a06f4", "146384fc-3f64-4482-a78a-2f082411a27d"]</v>
      </c>
      <c r="V131" t="str">
        <f t="shared" ref="V131:V194" si="9">MID(T131, 1025, 1024)</f>
        <v/>
      </c>
      <c r="W131" t="str">
        <f t="shared" ref="W131:W194" si="10">MID(T131, 2049, 1024)</f>
        <v/>
      </c>
      <c r="X131" t="str">
        <f t="shared" ref="X131:X194" si="11">MID(T131, 3073, 1024)</f>
        <v/>
      </c>
    </row>
    <row r="132" spans="1:24" ht="285" x14ac:dyDescent="0.25">
      <c r="A132" t="s">
        <v>763</v>
      </c>
      <c r="B132" t="s">
        <v>764</v>
      </c>
      <c r="C132" t="s">
        <v>765</v>
      </c>
      <c r="F132" s="2" t="s">
        <v>766</v>
      </c>
      <c r="L132" t="s">
        <v>24</v>
      </c>
      <c r="M132" t="s">
        <v>25</v>
      </c>
      <c r="O132" t="s">
        <v>26</v>
      </c>
      <c r="P132" t="s">
        <v>767</v>
      </c>
      <c r="Q132" t="s">
        <v>28</v>
      </c>
      <c r="R132" s="3">
        <v>41681.619768518518</v>
      </c>
      <c r="T132" t="s">
        <v>768</v>
      </c>
      <c r="U132" t="str">
        <f t="shared" si="8"/>
        <v>["2f5baa1f-208c-42c2-8d04-9ea74aa1b229"]</v>
      </c>
      <c r="V132" t="str">
        <f t="shared" si="9"/>
        <v/>
      </c>
      <c r="W132" t="str">
        <f t="shared" si="10"/>
        <v/>
      </c>
      <c r="X132" t="str">
        <f t="shared" si="11"/>
        <v/>
      </c>
    </row>
    <row r="133" spans="1:24" ht="409.5" x14ac:dyDescent="0.25">
      <c r="A133" t="s">
        <v>769</v>
      </c>
      <c r="B133" t="s">
        <v>770</v>
      </c>
      <c r="C133" t="s">
        <v>771</v>
      </c>
      <c r="F133" s="2" t="s">
        <v>772</v>
      </c>
      <c r="L133" t="s">
        <v>24</v>
      </c>
      <c r="M133" t="s">
        <v>25</v>
      </c>
      <c r="O133" t="s">
        <v>26</v>
      </c>
      <c r="P133" t="s">
        <v>773</v>
      </c>
      <c r="Q133" t="s">
        <v>28</v>
      </c>
      <c r="R133" s="3">
        <v>41676.402187500003</v>
      </c>
      <c r="T133" t="s">
        <v>29</v>
      </c>
      <c r="U133" t="str">
        <f t="shared" si="8"/>
        <v>[]</v>
      </c>
      <c r="V133" t="str">
        <f t="shared" si="9"/>
        <v/>
      </c>
      <c r="W133" t="str">
        <f t="shared" si="10"/>
        <v/>
      </c>
      <c r="X133" t="str">
        <f t="shared" si="11"/>
        <v/>
      </c>
    </row>
    <row r="134" spans="1:24" ht="409.5" x14ac:dyDescent="0.25">
      <c r="A134" t="s">
        <v>774</v>
      </c>
      <c r="B134" t="s">
        <v>775</v>
      </c>
      <c r="C134" t="s">
        <v>776</v>
      </c>
      <c r="F134" s="2" t="s">
        <v>777</v>
      </c>
      <c r="L134" t="s">
        <v>24</v>
      </c>
      <c r="M134" t="s">
        <v>25</v>
      </c>
      <c r="O134" t="s">
        <v>26</v>
      </c>
      <c r="P134" t="s">
        <v>778</v>
      </c>
      <c r="Q134" t="s">
        <v>28</v>
      </c>
      <c r="R134" s="3">
        <v>41701.384606481479</v>
      </c>
      <c r="T134" t="s">
        <v>779</v>
      </c>
      <c r="U134" t="str">
        <f t="shared" si="8"/>
        <v>["6858b208-62bc-424e-9d7b-c89b74d3d3e3", "aa8876c7-9711-4969-b428-34400f2d0dbe", "2ee6b8bf-6292-413c-bb8b-bd22dbb2ad4b", "4315e096-f51e-4b56-8235-57be9789a62c"]</v>
      </c>
      <c r="V134" t="str">
        <f t="shared" si="9"/>
        <v/>
      </c>
      <c r="W134" t="str">
        <f t="shared" si="10"/>
        <v/>
      </c>
      <c r="X134" t="str">
        <f t="shared" si="11"/>
        <v/>
      </c>
    </row>
    <row r="135" spans="1:24" ht="409.5" x14ac:dyDescent="0.25">
      <c r="A135" t="s">
        <v>780</v>
      </c>
      <c r="B135" t="s">
        <v>781</v>
      </c>
      <c r="C135" t="s">
        <v>782</v>
      </c>
      <c r="F135" s="2" t="s">
        <v>783</v>
      </c>
      <c r="L135" t="s">
        <v>24</v>
      </c>
      <c r="M135" t="s">
        <v>25</v>
      </c>
      <c r="O135" t="s">
        <v>26</v>
      </c>
      <c r="P135" t="s">
        <v>784</v>
      </c>
      <c r="Q135" t="s">
        <v>28</v>
      </c>
      <c r="R135" s="3">
        <v>41593.558449074073</v>
      </c>
      <c r="T135" t="s">
        <v>785</v>
      </c>
      <c r="U135" t="str">
        <f t="shared" si="8"/>
        <v>["298e6b5a-21a8-4d56-9484-1bac58c94a26", "5d642d09-8e03-4200-a79b-2a397a6d5d51", "be2e0197-57b8-4fcf-a144-cb33f7466f3a", "146384fc-3f64-4482-a78a-2f082411a27d", "898afe8c-0297-45d6-b4b5-0cb9e632094b", "72fbf32e-c8c3-4914-92a1-66dc2439a114", "523ba2e4-8c55-4dde-8acf-39e3621811b0", "c6fc4688-1aca-4363-bd1a-8d14ea08d2f8", "f4e80988-c139-4953-8176-b3d6d03f6449", "6f412521-2e9b-44b1-a3e4-8f1358caef63", "54fc7750-8540-4c22-8d46-9a6a2641c41a", "2adc5a86-faa3-4b63-acff-a66128b811b7", "aab0a0be-89e6-442e-8cf9-e762bd18f76b", "96196887-5a20-4e93-a302-72f306f32c9d"]</v>
      </c>
      <c r="V135" t="str">
        <f t="shared" si="9"/>
        <v/>
      </c>
      <c r="W135" t="str">
        <f t="shared" si="10"/>
        <v/>
      </c>
      <c r="X135" t="str">
        <f t="shared" si="11"/>
        <v/>
      </c>
    </row>
    <row r="136" spans="1:24" ht="409.5" x14ac:dyDescent="0.25">
      <c r="A136" t="s">
        <v>786</v>
      </c>
      <c r="B136" t="s">
        <v>787</v>
      </c>
      <c r="C136" t="s">
        <v>788</v>
      </c>
      <c r="F136" s="2" t="s">
        <v>789</v>
      </c>
      <c r="L136" t="s">
        <v>24</v>
      </c>
      <c r="M136" t="s">
        <v>25</v>
      </c>
      <c r="O136" t="s">
        <v>26</v>
      </c>
      <c r="P136" t="s">
        <v>790</v>
      </c>
      <c r="Q136" t="s">
        <v>28</v>
      </c>
      <c r="R136" s="3">
        <v>41190.516770833332</v>
      </c>
      <c r="T136" t="s">
        <v>791</v>
      </c>
      <c r="U136" t="str">
        <f t="shared" si="8"/>
        <v>["bb596b23-4096-4d65-861c-a94e7cebf7e2"]</v>
      </c>
      <c r="V136" t="str">
        <f t="shared" si="9"/>
        <v/>
      </c>
      <c r="W136" t="str">
        <f t="shared" si="10"/>
        <v/>
      </c>
      <c r="X136" t="str">
        <f t="shared" si="11"/>
        <v/>
      </c>
    </row>
    <row r="137" spans="1:24" ht="409.5" x14ac:dyDescent="0.25">
      <c r="A137" t="s">
        <v>792</v>
      </c>
      <c r="B137" t="s">
        <v>793</v>
      </c>
      <c r="C137" t="s">
        <v>794</v>
      </c>
      <c r="F137" s="2" t="s">
        <v>795</v>
      </c>
      <c r="L137" t="s">
        <v>24</v>
      </c>
      <c r="M137" t="s">
        <v>25</v>
      </c>
      <c r="O137" t="s">
        <v>26</v>
      </c>
      <c r="P137" t="s">
        <v>796</v>
      </c>
      <c r="Q137" t="s">
        <v>28</v>
      </c>
      <c r="R137" s="3">
        <v>41614.438078703701</v>
      </c>
      <c r="T137" t="s">
        <v>797</v>
      </c>
      <c r="U137" t="str">
        <f t="shared" si="8"/>
        <v>["f660cf3f-afa9-4816-aafb-0098a36ca57d"]</v>
      </c>
      <c r="V137" t="str">
        <f t="shared" si="9"/>
        <v/>
      </c>
      <c r="W137" t="str">
        <f t="shared" si="10"/>
        <v/>
      </c>
      <c r="X137" t="str">
        <f t="shared" si="11"/>
        <v/>
      </c>
    </row>
    <row r="138" spans="1:24" ht="409.5" x14ac:dyDescent="0.25">
      <c r="A138" t="s">
        <v>798</v>
      </c>
      <c r="B138" t="s">
        <v>799</v>
      </c>
      <c r="C138" t="s">
        <v>800</v>
      </c>
      <c r="F138" s="2" t="s">
        <v>801</v>
      </c>
      <c r="L138" t="s">
        <v>24</v>
      </c>
      <c r="M138" t="s">
        <v>25</v>
      </c>
      <c r="O138" t="s">
        <v>26</v>
      </c>
      <c r="P138" t="s">
        <v>802</v>
      </c>
      <c r="Q138" t="s">
        <v>28</v>
      </c>
      <c r="R138" s="3">
        <v>41626.562372685185</v>
      </c>
      <c r="T138" t="s">
        <v>803</v>
      </c>
      <c r="U138" t="str">
        <f t="shared" si="8"/>
        <v>["c223b93a-2634-4f06-ac73-8709b9e16888"]</v>
      </c>
      <c r="V138" t="str">
        <f t="shared" si="9"/>
        <v/>
      </c>
      <c r="W138" t="str">
        <f t="shared" si="10"/>
        <v/>
      </c>
      <c r="X138" t="str">
        <f t="shared" si="11"/>
        <v/>
      </c>
    </row>
    <row r="139" spans="1:24" ht="409.5" x14ac:dyDescent="0.25">
      <c r="A139" t="s">
        <v>804</v>
      </c>
      <c r="B139" t="s">
        <v>805</v>
      </c>
      <c r="C139" t="s">
        <v>806</v>
      </c>
      <c r="F139" s="2" t="s">
        <v>807</v>
      </c>
      <c r="L139" t="s">
        <v>24</v>
      </c>
      <c r="M139" t="s">
        <v>25</v>
      </c>
      <c r="O139" t="s">
        <v>26</v>
      </c>
      <c r="P139" t="s">
        <v>808</v>
      </c>
      <c r="Q139" t="s">
        <v>28</v>
      </c>
      <c r="R139" s="3">
        <v>41667.472222222219</v>
      </c>
      <c r="T139" t="s">
        <v>29</v>
      </c>
      <c r="U139" t="str">
        <f t="shared" si="8"/>
        <v>[]</v>
      </c>
      <c r="V139" t="str">
        <f t="shared" si="9"/>
        <v/>
      </c>
      <c r="W139" t="str">
        <f t="shared" si="10"/>
        <v/>
      </c>
      <c r="X139" t="str">
        <f t="shared" si="11"/>
        <v/>
      </c>
    </row>
    <row r="140" spans="1:24" x14ac:dyDescent="0.25">
      <c r="A140" t="s">
        <v>809</v>
      </c>
      <c r="B140" t="s">
        <v>810</v>
      </c>
      <c r="C140" t="s">
        <v>811</v>
      </c>
      <c r="F140" t="s">
        <v>812</v>
      </c>
      <c r="L140" t="s">
        <v>24</v>
      </c>
      <c r="M140" t="s">
        <v>25</v>
      </c>
      <c r="O140" t="s">
        <v>26</v>
      </c>
      <c r="P140" t="s">
        <v>813</v>
      </c>
      <c r="Q140" t="s">
        <v>28</v>
      </c>
      <c r="R140" s="3">
        <v>41661.304305555554</v>
      </c>
      <c r="T140" t="s">
        <v>433</v>
      </c>
      <c r="U140" t="str">
        <f t="shared" si="8"/>
        <v>["2c54f4d6-5712-4e5a-a025-b7f7a396c39b"]</v>
      </c>
      <c r="V140" t="str">
        <f t="shared" si="9"/>
        <v/>
      </c>
      <c r="W140" t="str">
        <f t="shared" si="10"/>
        <v/>
      </c>
      <c r="X140" t="str">
        <f t="shared" si="11"/>
        <v/>
      </c>
    </row>
    <row r="141" spans="1:24" ht="409.5" x14ac:dyDescent="0.25">
      <c r="A141" t="s">
        <v>814</v>
      </c>
      <c r="B141" t="s">
        <v>815</v>
      </c>
      <c r="C141" t="s">
        <v>816</v>
      </c>
      <c r="F141" s="2" t="s">
        <v>817</v>
      </c>
      <c r="L141" t="s">
        <v>24</v>
      </c>
      <c r="M141" t="s">
        <v>25</v>
      </c>
      <c r="O141" t="s">
        <v>26</v>
      </c>
      <c r="P141" t="s">
        <v>818</v>
      </c>
      <c r="Q141" t="s">
        <v>28</v>
      </c>
      <c r="R141" s="3">
        <v>41667.411712962959</v>
      </c>
      <c r="T141" t="s">
        <v>29</v>
      </c>
      <c r="U141" t="str">
        <f t="shared" si="8"/>
        <v>[]</v>
      </c>
      <c r="V141" t="str">
        <f t="shared" si="9"/>
        <v/>
      </c>
      <c r="W141" t="str">
        <f t="shared" si="10"/>
        <v/>
      </c>
      <c r="X141" t="str">
        <f t="shared" si="11"/>
        <v/>
      </c>
    </row>
    <row r="142" spans="1:24" x14ac:dyDescent="0.25">
      <c r="A142" t="s">
        <v>819</v>
      </c>
      <c r="B142" t="s">
        <v>820</v>
      </c>
      <c r="C142" t="s">
        <v>821</v>
      </c>
      <c r="F142" t="s">
        <v>822</v>
      </c>
      <c r="L142" t="s">
        <v>24</v>
      </c>
      <c r="M142" t="s">
        <v>25</v>
      </c>
      <c r="O142" t="s">
        <v>26</v>
      </c>
      <c r="P142" t="s">
        <v>823</v>
      </c>
      <c r="Q142" t="s">
        <v>28</v>
      </c>
      <c r="R142" s="3">
        <v>41669.637013888889</v>
      </c>
      <c r="T142" t="s">
        <v>29</v>
      </c>
      <c r="U142" t="str">
        <f t="shared" si="8"/>
        <v>[]</v>
      </c>
      <c r="V142" t="str">
        <f t="shared" si="9"/>
        <v/>
      </c>
      <c r="W142" t="str">
        <f t="shared" si="10"/>
        <v/>
      </c>
      <c r="X142" t="str">
        <f t="shared" si="11"/>
        <v/>
      </c>
    </row>
    <row r="143" spans="1:24" ht="409.5" x14ac:dyDescent="0.25">
      <c r="A143" t="s">
        <v>824</v>
      </c>
      <c r="B143" t="s">
        <v>825</v>
      </c>
      <c r="C143" t="s">
        <v>826</v>
      </c>
      <c r="F143" s="2" t="s">
        <v>827</v>
      </c>
      <c r="L143" t="s">
        <v>24</v>
      </c>
      <c r="M143" t="s">
        <v>25</v>
      </c>
      <c r="O143" t="s">
        <v>26</v>
      </c>
      <c r="P143" t="s">
        <v>828</v>
      </c>
      <c r="Q143" t="s">
        <v>28</v>
      </c>
      <c r="R143" s="3">
        <v>41681.621331018519</v>
      </c>
      <c r="T143" t="s">
        <v>281</v>
      </c>
      <c r="U143" t="str">
        <f t="shared" si="8"/>
        <v>["146384fc-3f64-4482-a78a-2f082411a27d"]</v>
      </c>
      <c r="V143" t="str">
        <f t="shared" si="9"/>
        <v/>
      </c>
      <c r="W143" t="str">
        <f t="shared" si="10"/>
        <v/>
      </c>
      <c r="X143" t="str">
        <f t="shared" si="11"/>
        <v/>
      </c>
    </row>
    <row r="144" spans="1:24" ht="409.5" x14ac:dyDescent="0.25">
      <c r="A144" t="s">
        <v>829</v>
      </c>
      <c r="B144" t="s">
        <v>830</v>
      </c>
      <c r="C144" t="s">
        <v>831</v>
      </c>
      <c r="F144" s="2" t="s">
        <v>832</v>
      </c>
      <c r="L144" t="s">
        <v>24</v>
      </c>
      <c r="M144" t="s">
        <v>25</v>
      </c>
      <c r="O144" t="s">
        <v>26</v>
      </c>
      <c r="P144" t="s">
        <v>833</v>
      </c>
      <c r="Q144" t="s">
        <v>28</v>
      </c>
      <c r="R144" s="3">
        <v>41673.65247685185</v>
      </c>
      <c r="T144" t="s">
        <v>29</v>
      </c>
      <c r="U144" t="str">
        <f t="shared" si="8"/>
        <v>[]</v>
      </c>
      <c r="V144" t="str">
        <f t="shared" si="9"/>
        <v/>
      </c>
      <c r="W144" t="str">
        <f t="shared" si="10"/>
        <v/>
      </c>
      <c r="X144" t="str">
        <f t="shared" si="11"/>
        <v/>
      </c>
    </row>
    <row r="145" spans="1:24" x14ac:dyDescent="0.25">
      <c r="A145" t="s">
        <v>834</v>
      </c>
      <c r="B145" t="s">
        <v>835</v>
      </c>
      <c r="C145" t="s">
        <v>836</v>
      </c>
      <c r="F145" t="s">
        <v>837</v>
      </c>
      <c r="L145" t="s">
        <v>24</v>
      </c>
      <c r="M145" t="s">
        <v>25</v>
      </c>
      <c r="O145" t="s">
        <v>26</v>
      </c>
      <c r="P145" t="s">
        <v>838</v>
      </c>
      <c r="Q145" t="s">
        <v>28</v>
      </c>
      <c r="R145" s="3">
        <v>41669.643310185187</v>
      </c>
      <c r="T145" t="s">
        <v>29</v>
      </c>
      <c r="U145" t="str">
        <f t="shared" si="8"/>
        <v>[]</v>
      </c>
      <c r="V145" t="str">
        <f t="shared" si="9"/>
        <v/>
      </c>
      <c r="W145" t="str">
        <f t="shared" si="10"/>
        <v/>
      </c>
      <c r="X145" t="str">
        <f t="shared" si="11"/>
        <v/>
      </c>
    </row>
    <row r="146" spans="1:24" ht="409.5" x14ac:dyDescent="0.25">
      <c r="A146" t="s">
        <v>839</v>
      </c>
      <c r="B146" t="s">
        <v>840</v>
      </c>
      <c r="C146" t="s">
        <v>841</v>
      </c>
      <c r="F146" s="2" t="s">
        <v>842</v>
      </c>
      <c r="L146" t="s">
        <v>24</v>
      </c>
      <c r="M146" t="s">
        <v>25</v>
      </c>
      <c r="O146" t="s">
        <v>26</v>
      </c>
      <c r="P146" t="s">
        <v>843</v>
      </c>
      <c r="Q146" t="s">
        <v>28</v>
      </c>
      <c r="R146" s="3">
        <v>41681.602685185186</v>
      </c>
      <c r="T146" t="s">
        <v>844</v>
      </c>
      <c r="U146" t="str">
        <f t="shared" si="8"/>
        <v>["f1f6f15d-2faa-4b62-b78b-80599dd1c66e"]</v>
      </c>
      <c r="V146" t="str">
        <f t="shared" si="9"/>
        <v/>
      </c>
      <c r="W146" t="str">
        <f t="shared" si="10"/>
        <v/>
      </c>
      <c r="X146" t="str">
        <f t="shared" si="11"/>
        <v/>
      </c>
    </row>
    <row r="147" spans="1:24" x14ac:dyDescent="0.25">
      <c r="A147" t="s">
        <v>845</v>
      </c>
      <c r="B147" t="s">
        <v>846</v>
      </c>
      <c r="C147" t="s">
        <v>847</v>
      </c>
      <c r="F147" t="s">
        <v>848</v>
      </c>
      <c r="L147" t="s">
        <v>24</v>
      </c>
      <c r="M147" t="s">
        <v>25</v>
      </c>
      <c r="O147" t="s">
        <v>26</v>
      </c>
      <c r="P147" t="s">
        <v>849</v>
      </c>
      <c r="Q147" t="s">
        <v>28</v>
      </c>
      <c r="R147" s="3">
        <v>41673.648159722223</v>
      </c>
      <c r="T147" t="s">
        <v>29</v>
      </c>
      <c r="U147" t="str">
        <f t="shared" si="8"/>
        <v>[]</v>
      </c>
      <c r="V147" t="str">
        <f t="shared" si="9"/>
        <v/>
      </c>
      <c r="W147" t="str">
        <f t="shared" si="10"/>
        <v/>
      </c>
      <c r="X147" t="str">
        <f t="shared" si="11"/>
        <v/>
      </c>
    </row>
    <row r="148" spans="1:24" x14ac:dyDescent="0.25">
      <c r="A148" t="s">
        <v>850</v>
      </c>
      <c r="B148" t="s">
        <v>851</v>
      </c>
      <c r="C148" t="s">
        <v>852</v>
      </c>
      <c r="F148" t="s">
        <v>853</v>
      </c>
      <c r="L148" t="s">
        <v>24</v>
      </c>
      <c r="M148" t="s">
        <v>25</v>
      </c>
      <c r="O148" t="s">
        <v>26</v>
      </c>
      <c r="P148" t="s">
        <v>854</v>
      </c>
      <c r="Q148" t="s">
        <v>28</v>
      </c>
      <c r="R148" s="3">
        <v>41674.373067129629</v>
      </c>
      <c r="T148" t="s">
        <v>433</v>
      </c>
      <c r="U148" t="str">
        <f t="shared" si="8"/>
        <v>["2c54f4d6-5712-4e5a-a025-b7f7a396c39b"]</v>
      </c>
      <c r="V148" t="str">
        <f t="shared" si="9"/>
        <v/>
      </c>
      <c r="W148" t="str">
        <f t="shared" si="10"/>
        <v/>
      </c>
      <c r="X148" t="str">
        <f t="shared" si="11"/>
        <v/>
      </c>
    </row>
    <row r="149" spans="1:24" ht="409.5" x14ac:dyDescent="0.25">
      <c r="A149" t="s">
        <v>855</v>
      </c>
      <c r="B149" t="s">
        <v>856</v>
      </c>
      <c r="C149" t="s">
        <v>857</v>
      </c>
      <c r="F149" s="2" t="s">
        <v>858</v>
      </c>
      <c r="L149" t="s">
        <v>24</v>
      </c>
      <c r="M149" t="s">
        <v>25</v>
      </c>
      <c r="O149" t="s">
        <v>26</v>
      </c>
      <c r="P149" t="s">
        <v>859</v>
      </c>
      <c r="Q149" t="s">
        <v>28</v>
      </c>
      <c r="R149" s="3">
        <v>41676.382222222222</v>
      </c>
      <c r="T149" t="s">
        <v>29</v>
      </c>
      <c r="U149" t="str">
        <f t="shared" si="8"/>
        <v>[]</v>
      </c>
      <c r="V149" t="str">
        <f t="shared" si="9"/>
        <v/>
      </c>
      <c r="W149" t="str">
        <f t="shared" si="10"/>
        <v/>
      </c>
      <c r="X149" t="str">
        <f t="shared" si="11"/>
        <v/>
      </c>
    </row>
    <row r="150" spans="1:24" ht="409.5" x14ac:dyDescent="0.25">
      <c r="A150" t="s">
        <v>860</v>
      </c>
      <c r="B150" t="s">
        <v>861</v>
      </c>
      <c r="C150" t="s">
        <v>862</v>
      </c>
      <c r="F150" s="2" t="s">
        <v>863</v>
      </c>
      <c r="L150" t="s">
        <v>24</v>
      </c>
      <c r="M150" t="s">
        <v>25</v>
      </c>
      <c r="O150" t="s">
        <v>26</v>
      </c>
      <c r="P150" t="s">
        <v>864</v>
      </c>
      <c r="Q150" t="s">
        <v>28</v>
      </c>
      <c r="R150" s="3">
        <v>41681.611666666664</v>
      </c>
      <c r="T150" t="s">
        <v>111</v>
      </c>
      <c r="U150" t="str">
        <f t="shared" si="8"/>
        <v>["6f412521-2e9b-44b1-a3e4-8f1358caef63"]</v>
      </c>
      <c r="V150" t="str">
        <f t="shared" si="9"/>
        <v/>
      </c>
      <c r="W150" t="str">
        <f t="shared" si="10"/>
        <v/>
      </c>
      <c r="X150" t="str">
        <f t="shared" si="11"/>
        <v/>
      </c>
    </row>
    <row r="151" spans="1:24" ht="409.5" x14ac:dyDescent="0.25">
      <c r="A151" t="s">
        <v>865</v>
      </c>
      <c r="B151" t="s">
        <v>866</v>
      </c>
      <c r="C151" t="s">
        <v>867</v>
      </c>
      <c r="F151" s="2" t="s">
        <v>868</v>
      </c>
      <c r="L151" t="s">
        <v>24</v>
      </c>
      <c r="M151" t="s">
        <v>25</v>
      </c>
      <c r="O151" t="s">
        <v>26</v>
      </c>
      <c r="P151" t="s">
        <v>869</v>
      </c>
      <c r="Q151" t="s">
        <v>28</v>
      </c>
      <c r="R151" s="3">
        <v>41677.322777777779</v>
      </c>
      <c r="T151" t="s">
        <v>870</v>
      </c>
      <c r="U151" t="str">
        <f t="shared" si="8"/>
        <v>["f36e3404-c711-4f35-8312-757d6a6691f2"]</v>
      </c>
      <c r="V151" t="str">
        <f t="shared" si="9"/>
        <v/>
      </c>
      <c r="W151" t="str">
        <f t="shared" si="10"/>
        <v/>
      </c>
      <c r="X151" t="str">
        <f t="shared" si="11"/>
        <v/>
      </c>
    </row>
    <row r="152" spans="1:24" ht="409.5" x14ac:dyDescent="0.25">
      <c r="A152" t="s">
        <v>871</v>
      </c>
      <c r="B152" t="s">
        <v>872</v>
      </c>
      <c r="C152" t="s">
        <v>873</v>
      </c>
      <c r="F152" s="2" t="s">
        <v>874</v>
      </c>
      <c r="L152" t="s">
        <v>24</v>
      </c>
      <c r="M152" t="s">
        <v>25</v>
      </c>
      <c r="O152" t="s">
        <v>26</v>
      </c>
      <c r="P152" t="s">
        <v>875</v>
      </c>
      <c r="Q152" t="s">
        <v>28</v>
      </c>
      <c r="R152" s="3">
        <v>42023.389016203706</v>
      </c>
      <c r="T152" t="s">
        <v>876</v>
      </c>
      <c r="U152" t="str">
        <f t="shared" si="8"/>
        <v>["d8beefc9-cf72-4e2c-9a78-fa1532dee407"]</v>
      </c>
      <c r="V152" t="str">
        <f t="shared" si="9"/>
        <v/>
      </c>
      <c r="W152" t="str">
        <f t="shared" si="10"/>
        <v/>
      </c>
      <c r="X152" t="str">
        <f t="shared" si="11"/>
        <v/>
      </c>
    </row>
    <row r="153" spans="1:24" x14ac:dyDescent="0.25">
      <c r="A153" t="s">
        <v>877</v>
      </c>
      <c r="B153" t="s">
        <v>878</v>
      </c>
      <c r="C153" t="s">
        <v>879</v>
      </c>
      <c r="F153" t="s">
        <v>880</v>
      </c>
      <c r="L153" t="s">
        <v>24</v>
      </c>
      <c r="M153" t="s">
        <v>25</v>
      </c>
      <c r="O153" t="s">
        <v>26</v>
      </c>
      <c r="P153" t="s">
        <v>881</v>
      </c>
      <c r="Q153" t="s">
        <v>28</v>
      </c>
      <c r="R153" s="3">
        <v>41710.701481481483</v>
      </c>
      <c r="T153" t="s">
        <v>29</v>
      </c>
      <c r="U153" t="str">
        <f t="shared" si="8"/>
        <v>[]</v>
      </c>
      <c r="V153" t="str">
        <f t="shared" si="9"/>
        <v/>
      </c>
      <c r="W153" t="str">
        <f t="shared" si="10"/>
        <v/>
      </c>
      <c r="X153" t="str">
        <f t="shared" si="11"/>
        <v/>
      </c>
    </row>
    <row r="154" spans="1:24" x14ac:dyDescent="0.25">
      <c r="A154" t="s">
        <v>882</v>
      </c>
      <c r="B154" t="s">
        <v>883</v>
      </c>
      <c r="C154" t="s">
        <v>884</v>
      </c>
      <c r="F154" t="s">
        <v>885</v>
      </c>
      <c r="L154" t="s">
        <v>24</v>
      </c>
      <c r="M154" t="s">
        <v>25</v>
      </c>
      <c r="O154" t="s">
        <v>26</v>
      </c>
      <c r="P154" t="s">
        <v>886</v>
      </c>
      <c r="Q154" t="s">
        <v>28</v>
      </c>
      <c r="R154" s="3">
        <v>41898.36209490741</v>
      </c>
      <c r="T154" t="s">
        <v>887</v>
      </c>
      <c r="U154" t="str">
        <f t="shared" si="8"/>
        <v>["13a9f9d7-f013-4b12-a990-387714039247", "2c54f4d6-5712-4e5a-a025-b7f7a396c39b"]</v>
      </c>
      <c r="V154" t="str">
        <f t="shared" si="9"/>
        <v/>
      </c>
      <c r="W154" t="str">
        <f t="shared" si="10"/>
        <v/>
      </c>
      <c r="X154" t="str">
        <f t="shared" si="11"/>
        <v/>
      </c>
    </row>
    <row r="155" spans="1:24" ht="409.5" x14ac:dyDescent="0.25">
      <c r="A155" t="s">
        <v>888</v>
      </c>
      <c r="B155" t="s">
        <v>889</v>
      </c>
      <c r="C155" t="s">
        <v>890</v>
      </c>
      <c r="F155" s="2" t="s">
        <v>891</v>
      </c>
      <c r="L155" t="s">
        <v>24</v>
      </c>
      <c r="M155" t="s">
        <v>25</v>
      </c>
      <c r="O155" t="s">
        <v>26</v>
      </c>
      <c r="P155" t="s">
        <v>892</v>
      </c>
      <c r="Q155" t="s">
        <v>28</v>
      </c>
      <c r="R155" s="3">
        <v>41681.616168981483</v>
      </c>
      <c r="T155" t="s">
        <v>893</v>
      </c>
      <c r="U155" t="str">
        <f t="shared" si="8"/>
        <v>["28a7419c-f432-4e1a-b0a6-aa9e71968a14"]</v>
      </c>
      <c r="V155" t="str">
        <f t="shared" si="9"/>
        <v/>
      </c>
      <c r="W155" t="str">
        <f t="shared" si="10"/>
        <v/>
      </c>
      <c r="X155" t="str">
        <f t="shared" si="11"/>
        <v/>
      </c>
    </row>
    <row r="156" spans="1:24" ht="409.5" x14ac:dyDescent="0.25">
      <c r="A156" s="4" t="s">
        <v>894</v>
      </c>
      <c r="B156" t="s">
        <v>895</v>
      </c>
      <c r="C156" t="s">
        <v>896</v>
      </c>
      <c r="F156" s="2" t="s">
        <v>897</v>
      </c>
      <c r="L156" t="s">
        <v>24</v>
      </c>
      <c r="M156" t="s">
        <v>25</v>
      </c>
      <c r="O156" t="s">
        <v>26</v>
      </c>
      <c r="P156" t="s">
        <v>898</v>
      </c>
      <c r="Q156" t="s">
        <v>28</v>
      </c>
      <c r="R156" s="3">
        <v>41681.635185185187</v>
      </c>
      <c r="T156" t="s">
        <v>353</v>
      </c>
      <c r="U156" t="str">
        <f t="shared" si="8"/>
        <v>["8a528b7f-98af-4893-af73-5d5f26d3aa7c"]</v>
      </c>
      <c r="V156" t="str">
        <f t="shared" si="9"/>
        <v/>
      </c>
      <c r="W156" t="str">
        <f t="shared" si="10"/>
        <v/>
      </c>
      <c r="X156" t="str">
        <f t="shared" si="11"/>
        <v/>
      </c>
    </row>
    <row r="157" spans="1:24" ht="409.5" x14ac:dyDescent="0.25">
      <c r="A157" t="s">
        <v>899</v>
      </c>
      <c r="B157" t="s">
        <v>900</v>
      </c>
      <c r="C157" t="s">
        <v>114</v>
      </c>
      <c r="F157" s="2" t="s">
        <v>901</v>
      </c>
      <c r="L157" t="s">
        <v>24</v>
      </c>
      <c r="M157" t="s">
        <v>25</v>
      </c>
      <c r="O157" t="s">
        <v>26</v>
      </c>
      <c r="P157" t="s">
        <v>902</v>
      </c>
      <c r="Q157" t="s">
        <v>28</v>
      </c>
      <c r="R157" s="3">
        <v>41681.632511574076</v>
      </c>
      <c r="T157" t="s">
        <v>117</v>
      </c>
      <c r="U157" t="str">
        <f t="shared" si="8"/>
        <v>["be2e0197-57b8-4fcf-a144-cb33f7466f3a"]</v>
      </c>
      <c r="V157" t="str">
        <f t="shared" si="9"/>
        <v/>
      </c>
      <c r="W157" t="str">
        <f t="shared" si="10"/>
        <v/>
      </c>
      <c r="X157" t="str">
        <f t="shared" si="11"/>
        <v/>
      </c>
    </row>
    <row r="158" spans="1:24" ht="409.5" x14ac:dyDescent="0.25">
      <c r="A158" t="s">
        <v>903</v>
      </c>
      <c r="B158" t="s">
        <v>904</v>
      </c>
      <c r="C158" t="s">
        <v>905</v>
      </c>
      <c r="F158" s="2" t="s">
        <v>906</v>
      </c>
      <c r="L158" t="s">
        <v>24</v>
      </c>
      <c r="M158" t="s">
        <v>25</v>
      </c>
      <c r="O158" t="s">
        <v>26</v>
      </c>
      <c r="P158" t="s">
        <v>907</v>
      </c>
      <c r="Q158" t="s">
        <v>28</v>
      </c>
      <c r="R158" s="3">
        <v>41681.637361111112</v>
      </c>
      <c r="T158" t="s">
        <v>908</v>
      </c>
      <c r="U158" t="str">
        <f t="shared" si="8"/>
        <v>["f1f6f15d-2faa-4b62-b78b-80599dd1c66e", "36a8b9e9-909e-4605-a7ba-686ee3e1b8bf"]</v>
      </c>
      <c r="V158" t="str">
        <f t="shared" si="9"/>
        <v/>
      </c>
      <c r="W158" t="str">
        <f t="shared" si="10"/>
        <v/>
      </c>
      <c r="X158" t="str">
        <f t="shared" si="11"/>
        <v/>
      </c>
    </row>
    <row r="159" spans="1:24" ht="409.5" x14ac:dyDescent="0.25">
      <c r="A159" t="s">
        <v>909</v>
      </c>
      <c r="B159" t="s">
        <v>910</v>
      </c>
      <c r="C159" t="s">
        <v>911</v>
      </c>
      <c r="F159" s="2" t="s">
        <v>912</v>
      </c>
      <c r="L159" t="s">
        <v>24</v>
      </c>
      <c r="M159" t="s">
        <v>25</v>
      </c>
      <c r="O159" t="s">
        <v>26</v>
      </c>
      <c r="P159" t="s">
        <v>913</v>
      </c>
      <c r="Q159" t="s">
        <v>28</v>
      </c>
      <c r="R159" s="3">
        <v>41681.64403935185</v>
      </c>
      <c r="T159" t="s">
        <v>914</v>
      </c>
      <c r="U159" t="str">
        <f t="shared" si="8"/>
        <v>["8e420764-a913-4eae-8514-9be858fdb9b3"]</v>
      </c>
      <c r="V159" t="str">
        <f t="shared" si="9"/>
        <v/>
      </c>
      <c r="W159" t="str">
        <f t="shared" si="10"/>
        <v/>
      </c>
      <c r="X159" t="str">
        <f t="shared" si="11"/>
        <v/>
      </c>
    </row>
    <row r="160" spans="1:24" x14ac:dyDescent="0.25">
      <c r="A160" t="s">
        <v>915</v>
      </c>
      <c r="B160" t="s">
        <v>916</v>
      </c>
      <c r="C160" t="s">
        <v>917</v>
      </c>
      <c r="F160" t="s">
        <v>918</v>
      </c>
      <c r="L160" t="s">
        <v>24</v>
      </c>
      <c r="M160" t="s">
        <v>25</v>
      </c>
      <c r="O160" t="s">
        <v>26</v>
      </c>
      <c r="P160" t="s">
        <v>919</v>
      </c>
      <c r="Q160" t="s">
        <v>28</v>
      </c>
      <c r="R160" s="3">
        <v>41681.645324074074</v>
      </c>
      <c r="T160" t="s">
        <v>123</v>
      </c>
      <c r="U160" t="str">
        <f t="shared" si="8"/>
        <v>["523ba2e4-8c55-4dde-8acf-39e3621811b0"]</v>
      </c>
      <c r="V160" t="str">
        <f t="shared" si="9"/>
        <v/>
      </c>
      <c r="W160" t="str">
        <f t="shared" si="10"/>
        <v/>
      </c>
      <c r="X160" t="str">
        <f t="shared" si="11"/>
        <v/>
      </c>
    </row>
    <row r="161" spans="1:24" x14ac:dyDescent="0.25">
      <c r="A161" t="s">
        <v>920</v>
      </c>
      <c r="B161" t="s">
        <v>921</v>
      </c>
      <c r="C161" t="s">
        <v>922</v>
      </c>
      <c r="F161" t="s">
        <v>923</v>
      </c>
      <c r="L161" t="s">
        <v>24</v>
      </c>
      <c r="M161" t="s">
        <v>25</v>
      </c>
      <c r="O161" t="s">
        <v>26</v>
      </c>
      <c r="P161" t="s">
        <v>924</v>
      </c>
      <c r="Q161" t="s">
        <v>28</v>
      </c>
      <c r="R161" s="3">
        <v>41696.384236111109</v>
      </c>
      <c r="T161" t="s">
        <v>29</v>
      </c>
      <c r="U161" t="str">
        <f t="shared" si="8"/>
        <v>[]</v>
      </c>
      <c r="V161" t="str">
        <f t="shared" si="9"/>
        <v/>
      </c>
      <c r="W161" t="str">
        <f t="shared" si="10"/>
        <v/>
      </c>
      <c r="X161" t="str">
        <f t="shared" si="11"/>
        <v/>
      </c>
    </row>
    <row r="162" spans="1:24" x14ac:dyDescent="0.25">
      <c r="A162" t="s">
        <v>925</v>
      </c>
      <c r="B162" t="s">
        <v>926</v>
      </c>
      <c r="C162" t="s">
        <v>927</v>
      </c>
      <c r="F162" t="s">
        <v>928</v>
      </c>
      <c r="L162" t="s">
        <v>24</v>
      </c>
      <c r="M162" t="s">
        <v>25</v>
      </c>
      <c r="O162" t="s">
        <v>26</v>
      </c>
      <c r="P162" t="s">
        <v>929</v>
      </c>
      <c r="Q162" t="s">
        <v>28</v>
      </c>
      <c r="R162" s="3">
        <v>41786.363726851851</v>
      </c>
      <c r="T162" t="s">
        <v>657</v>
      </c>
      <c r="U162" t="str">
        <f t="shared" si="8"/>
        <v>["54171a40-1cfd-11e2-892e-0800200c9a66"]</v>
      </c>
      <c r="V162" t="str">
        <f t="shared" si="9"/>
        <v/>
      </c>
      <c r="W162" t="str">
        <f t="shared" si="10"/>
        <v/>
      </c>
      <c r="X162" t="str">
        <f t="shared" si="11"/>
        <v/>
      </c>
    </row>
    <row r="163" spans="1:24" ht="409.5" x14ac:dyDescent="0.25">
      <c r="A163" t="s">
        <v>930</v>
      </c>
      <c r="B163" t="s">
        <v>931</v>
      </c>
      <c r="C163" t="s">
        <v>932</v>
      </c>
      <c r="F163" s="2" t="s">
        <v>933</v>
      </c>
      <c r="L163" t="s">
        <v>24</v>
      </c>
      <c r="M163" t="s">
        <v>25</v>
      </c>
      <c r="O163" t="s">
        <v>26</v>
      </c>
      <c r="P163" t="s">
        <v>934</v>
      </c>
      <c r="Q163" t="s">
        <v>28</v>
      </c>
      <c r="R163" s="3">
        <v>42508.483749999999</v>
      </c>
      <c r="T163" t="s">
        <v>935</v>
      </c>
      <c r="U163" t="str">
        <f t="shared" si="8"/>
        <v>["9c203fec-dc0d-412c-a7a3-7fd77d0346f1", "522d3045-0b37-48d0-b868-57c99726b1c4", "523ba2e4-8c55-4dde-8acf-39e3621811b0", "d0145df8-7f6d-46e1-9bc6-ee7897054104", "c91a4635-8b7d-43fe-9b27-d95dec8392a7"]</v>
      </c>
      <c r="V163" t="str">
        <f t="shared" si="9"/>
        <v/>
      </c>
      <c r="W163" t="str">
        <f t="shared" si="10"/>
        <v/>
      </c>
      <c r="X163" t="str">
        <f t="shared" si="11"/>
        <v/>
      </c>
    </row>
    <row r="164" spans="1:24" x14ac:dyDescent="0.25">
      <c r="A164" t="s">
        <v>936</v>
      </c>
      <c r="B164" t="s">
        <v>937</v>
      </c>
      <c r="C164" t="s">
        <v>937</v>
      </c>
      <c r="F164" t="s">
        <v>938</v>
      </c>
      <c r="L164" t="s">
        <v>24</v>
      </c>
      <c r="M164" t="s">
        <v>25</v>
      </c>
      <c r="O164" t="s">
        <v>26</v>
      </c>
      <c r="P164" t="s">
        <v>939</v>
      </c>
      <c r="Q164" t="s">
        <v>28</v>
      </c>
      <c r="R164" s="3">
        <v>41703.622418981482</v>
      </c>
      <c r="T164" t="s">
        <v>940</v>
      </c>
      <c r="U164" t="str">
        <f t="shared" si="8"/>
        <v>["405a0d29-0a62-45a7-a4d4-56c28e3255ab", "fccc37ac-e4cd-4265-8d4d-5b465e19b1a3"]</v>
      </c>
      <c r="V164" t="str">
        <f t="shared" si="9"/>
        <v/>
      </c>
      <c r="W164" t="str">
        <f t="shared" si="10"/>
        <v/>
      </c>
      <c r="X164" t="str">
        <f t="shared" si="11"/>
        <v/>
      </c>
    </row>
    <row r="165" spans="1:24" ht="409.5" x14ac:dyDescent="0.25">
      <c r="A165" t="s">
        <v>941</v>
      </c>
      <c r="B165" t="s">
        <v>942</v>
      </c>
      <c r="C165" t="s">
        <v>943</v>
      </c>
      <c r="F165" s="2" t="s">
        <v>944</v>
      </c>
      <c r="L165" t="s">
        <v>24</v>
      </c>
      <c r="M165" t="s">
        <v>25</v>
      </c>
      <c r="O165" t="s">
        <v>26</v>
      </c>
      <c r="P165" t="s">
        <v>945</v>
      </c>
      <c r="Q165" t="s">
        <v>28</v>
      </c>
      <c r="R165" s="3">
        <v>41715.744930555556</v>
      </c>
      <c r="T165" t="s">
        <v>946</v>
      </c>
      <c r="U165" t="str">
        <f t="shared" si="8"/>
        <v>["28a7419c-f432-4e1a-b0a6-aa9e71968a14", "98908792-f315-4834-9b5e-20fed66cbe5a"]</v>
      </c>
      <c r="V165" t="str">
        <f t="shared" si="9"/>
        <v/>
      </c>
      <c r="W165" t="str">
        <f t="shared" si="10"/>
        <v/>
      </c>
      <c r="X165" t="str">
        <f t="shared" si="11"/>
        <v/>
      </c>
    </row>
    <row r="166" spans="1:24" x14ac:dyDescent="0.25">
      <c r="A166" t="s">
        <v>947</v>
      </c>
      <c r="B166" t="s">
        <v>948</v>
      </c>
      <c r="C166" t="s">
        <v>949</v>
      </c>
      <c r="F166" t="s">
        <v>950</v>
      </c>
      <c r="L166" t="s">
        <v>24</v>
      </c>
      <c r="M166" t="s">
        <v>25</v>
      </c>
      <c r="O166" t="s">
        <v>26</v>
      </c>
      <c r="P166" t="s">
        <v>951</v>
      </c>
      <c r="Q166" t="s">
        <v>28</v>
      </c>
      <c r="R166" s="3">
        <v>41711.52449074074</v>
      </c>
      <c r="T166" t="s">
        <v>952</v>
      </c>
      <c r="U166" t="str">
        <f t="shared" si="8"/>
        <v>["97ef14eb-f280-48a7-96c0-df03859b06c2", "455cf48c-cdee-4721-a0ed-cd38af7aff0f", "7fcf7f09-12d7-4b06-a183-93c51f940670", "cda1b8eb-40ef-4229-9417-2ba29ea816dd", "aac2629e-495d-4468-9c8b-cd9649bd7b5d", "7c6e9dbf-487b-4146-a379-19e46642c392", "2adc5a86-faa3-4b63-acff-a66128b811b7", "826d798e-01d1-48d3-973c-e0e466a63ca8", "a42cbe4f-89f0-42ae-a34d-f2e5db6aa1d2", "de64ade8-5025-40f9-a2e0-15b72797e6a7", "72fbf32e-c8c3-4914-92a1-66dc2439a114", "523ba2e4-8c55-4dde-8acf-39e3621811b0", "96196887-5a20-4e93-a302-72f306f32c9d", "4e8d237b-8bd4-4483-a85d-431784c543b9", "8e454ce2-435e-4352-962b-1bf4e4303301", "e8b9bb31-5ad1-4cc3-a0ae-177c93671d0b", "d9321ccf-d303-4cfb-a24b-32aba49cef81", "8e420764-a913-4eae-8514-9be858fdb9b3", "c6fc4688-1aca-4363-bd1a-8d14ea08d2f8", "21fca925-12ac-4215-ba1a-a9c73cb3b082", "28a7419c-f432-4e1a-b0a6-aa9e71968a14", "7035def0-a9df-430a-99ee-6e13de12676c", "87f121a7-eef0-4be9-9372-a5efe5b4d375", "5d642d09-8e03-4200-a79b-2a397a6d5d51", "aab0a0be-89e6-442e-8cf9-e762bd18f76b", "54fc7750-8540-4c22-8d4</v>
      </c>
      <c r="V166" t="str">
        <f t="shared" si="9"/>
        <v>6-9a6a2641c41a", "5f8ecd04-6e84-4ed7-b4d6-3632c5d2b8f4", "6f412521-2e9b-44b1-a3e4-8f1358caef63", "fc725989-5c3e-4bf4-89b1-68caeec4d858", "383408d4-89b8-42df-af53-5c89f91e0cc7", "146384fc-3f64-4482-a78a-2f082411a27d", "627a9226-a907-4018-89e3-878002a9d22b", "22add642-d849-48ff-9913-8c7ba2d99b46", "4315e096-f51e-4b56-8235-57be9789a62c", "298e6b5a-21a8-4d56-9484-1bac58c94a26", "354f9aa0-2f0a-4cdf-9b60-d023da93cc76", "8d482810-26da-4bbc-8599-6b1fd1ab8743", "038920bb-8c40-4a30-8d0c-0a29bcd64751", "d2c6f6f5-2236-4217-8361-3297b6369979", "47c7ffa9-65ba-41d1-9461-4e5458afd62e", "84f9e5e8-4baa-42a4-a491-fb92d0258f49", "c1ba372b-dba2-4bce-b72e-b5c832eaaf44", "898afe8c-0297-45d6-b4b5-0cb9e632094b", "f4e80988-c139-4953-8176-b3d6d03f6449", "c7e84d16-449e-4154-a1bd-603b4fae329e", "bd8b518b-d812-46f9-b367-4c1b660cfc99", "71084c02-973d-4544-b804-7ed82bd53027", "f7bd721a-1f72-4bef-a38c-792f59cc8fe3", "f0335765-1ab0-4e94-ab38-f404de4c3b4d", "2ed52078-7e55-40ea-8036-0d89118a06f4", "3e62e13e-3955-494a-91b3-f00ab9e84b48", "8a528b</v>
      </c>
      <c r="W166" t="str">
        <f t="shared" si="10"/>
        <v>7f-98af-4893-af73-5d5f26d3aa7c", "716d89ce-b0da-4158-abb6-72f562206b37", "e7065317-1d57-434a-8428-efa263ecc526"]</v>
      </c>
      <c r="X166" t="str">
        <f t="shared" si="11"/>
        <v/>
      </c>
    </row>
    <row r="167" spans="1:24" x14ac:dyDescent="0.25">
      <c r="A167" t="s">
        <v>953</v>
      </c>
      <c r="B167" t="s">
        <v>954</v>
      </c>
      <c r="C167" t="s">
        <v>955</v>
      </c>
      <c r="F167" t="s">
        <v>956</v>
      </c>
      <c r="L167" t="s">
        <v>24</v>
      </c>
      <c r="M167" t="s">
        <v>25</v>
      </c>
      <c r="O167" t="s">
        <v>26</v>
      </c>
      <c r="P167" t="s">
        <v>957</v>
      </c>
      <c r="Q167" t="s">
        <v>28</v>
      </c>
      <c r="R167" s="3">
        <v>41715.380046296297</v>
      </c>
      <c r="T167" t="s">
        <v>311</v>
      </c>
      <c r="U167" t="str">
        <f t="shared" si="8"/>
        <v>["b01585af-110f-4f87-9bf1-06805605926c"]</v>
      </c>
      <c r="V167" t="str">
        <f t="shared" si="9"/>
        <v/>
      </c>
      <c r="W167" t="str">
        <f t="shared" si="10"/>
        <v/>
      </c>
      <c r="X167" t="str">
        <f t="shared" si="11"/>
        <v/>
      </c>
    </row>
    <row r="168" spans="1:24" ht="409.5" x14ac:dyDescent="0.25">
      <c r="A168" t="s">
        <v>958</v>
      </c>
      <c r="B168" t="s">
        <v>959</v>
      </c>
      <c r="C168" t="s">
        <v>960</v>
      </c>
      <c r="F168" s="2" t="s">
        <v>961</v>
      </c>
      <c r="L168" t="s">
        <v>24</v>
      </c>
      <c r="M168" t="s">
        <v>25</v>
      </c>
      <c r="O168" t="s">
        <v>26</v>
      </c>
      <c r="P168" s="3">
        <v>45454.260127314818</v>
      </c>
      <c r="Q168" t="s">
        <v>28</v>
      </c>
      <c r="R168" s="3">
        <v>41701.388206018521</v>
      </c>
      <c r="T168" t="s">
        <v>962</v>
      </c>
      <c r="U168" t="str">
        <f t="shared" si="8"/>
        <v>["6858b208-62bc-424e-9d7b-c89b74d3d3e3", "aa8876c7-9711-4969-b428-34400f2d0dbe", "455cf48c-cdee-4721-a0ed-cd38af7aff0f", "4315e096-f51e-4b56-8235-57be9789a62c", "8a528b7f-98af-4893-af73-5d5f26d3aa7c", "2ee6b8bf-6292-413c-bb8b-bd22dbb2ad4b"]</v>
      </c>
      <c r="V168" t="str">
        <f t="shared" si="9"/>
        <v/>
      </c>
      <c r="W168" t="str">
        <f t="shared" si="10"/>
        <v/>
      </c>
      <c r="X168" t="str">
        <f t="shared" si="11"/>
        <v/>
      </c>
    </row>
    <row r="169" spans="1:24" x14ac:dyDescent="0.25">
      <c r="A169" t="s">
        <v>963</v>
      </c>
      <c r="B169" t="s">
        <v>964</v>
      </c>
      <c r="C169" t="s">
        <v>965</v>
      </c>
      <c r="F169" t="s">
        <v>966</v>
      </c>
      <c r="L169" t="s">
        <v>24</v>
      </c>
      <c r="M169" t="s">
        <v>25</v>
      </c>
      <c r="O169" t="s">
        <v>26</v>
      </c>
      <c r="P169" t="s">
        <v>967</v>
      </c>
      <c r="Q169" t="s">
        <v>28</v>
      </c>
      <c r="R169" s="3">
        <v>41704.419895833336</v>
      </c>
      <c r="T169" t="s">
        <v>29</v>
      </c>
      <c r="U169" t="str">
        <f t="shared" si="8"/>
        <v>[]</v>
      </c>
      <c r="V169" t="str">
        <f t="shared" si="9"/>
        <v/>
      </c>
      <c r="W169" t="str">
        <f t="shared" si="10"/>
        <v/>
      </c>
      <c r="X169" t="str">
        <f t="shared" si="11"/>
        <v/>
      </c>
    </row>
    <row r="170" spans="1:24" ht="409.5" x14ac:dyDescent="0.25">
      <c r="A170" t="s">
        <v>968</v>
      </c>
      <c r="B170" t="s">
        <v>969</v>
      </c>
      <c r="C170" t="s">
        <v>970</v>
      </c>
      <c r="F170" s="2" t="s">
        <v>971</v>
      </c>
      <c r="L170" t="s">
        <v>24</v>
      </c>
      <c r="M170" t="s">
        <v>25</v>
      </c>
      <c r="O170" t="s">
        <v>26</v>
      </c>
      <c r="P170" t="s">
        <v>972</v>
      </c>
      <c r="Q170" t="s">
        <v>28</v>
      </c>
      <c r="R170" s="3">
        <v>41710.696273148147</v>
      </c>
      <c r="T170" t="s">
        <v>973</v>
      </c>
      <c r="U170" t="str">
        <f t="shared" si="8"/>
        <v>["9c0a65e3-db8c-4784-98df-b856a9cd3576", "dfa2ff35-d2c4-4196-9989-a1bdbeabbfed"]</v>
      </c>
      <c r="V170" t="str">
        <f t="shared" si="9"/>
        <v/>
      </c>
      <c r="W170" t="str">
        <f t="shared" si="10"/>
        <v/>
      </c>
      <c r="X170" t="str">
        <f t="shared" si="11"/>
        <v/>
      </c>
    </row>
    <row r="171" spans="1:24" x14ac:dyDescent="0.25">
      <c r="A171" t="s">
        <v>974</v>
      </c>
      <c r="B171" t="s">
        <v>975</v>
      </c>
      <c r="C171" t="s">
        <v>976</v>
      </c>
      <c r="F171" t="s">
        <v>977</v>
      </c>
      <c r="L171" t="s">
        <v>24</v>
      </c>
      <c r="M171" t="s">
        <v>25</v>
      </c>
      <c r="O171" t="s">
        <v>26</v>
      </c>
      <c r="P171" t="s">
        <v>978</v>
      </c>
      <c r="Q171" t="s">
        <v>28</v>
      </c>
      <c r="R171" s="3">
        <v>41708.371620370373</v>
      </c>
      <c r="T171" t="s">
        <v>29</v>
      </c>
      <c r="U171" t="str">
        <f t="shared" si="8"/>
        <v>[]</v>
      </c>
      <c r="V171" t="str">
        <f t="shared" si="9"/>
        <v/>
      </c>
      <c r="W171" t="str">
        <f t="shared" si="10"/>
        <v/>
      </c>
      <c r="X171" t="str">
        <f t="shared" si="11"/>
        <v/>
      </c>
    </row>
    <row r="172" spans="1:24" x14ac:dyDescent="0.25">
      <c r="A172" t="s">
        <v>979</v>
      </c>
      <c r="B172" t="s">
        <v>980</v>
      </c>
      <c r="C172" t="s">
        <v>981</v>
      </c>
      <c r="F172" t="s">
        <v>982</v>
      </c>
      <c r="L172" t="s">
        <v>24</v>
      </c>
      <c r="M172" t="s">
        <v>25</v>
      </c>
      <c r="O172" t="s">
        <v>26</v>
      </c>
      <c r="P172" t="s">
        <v>983</v>
      </c>
      <c r="Q172" t="s">
        <v>28</v>
      </c>
      <c r="R172" s="3">
        <v>41709.349722222221</v>
      </c>
      <c r="T172" t="s">
        <v>29</v>
      </c>
      <c r="U172" t="str">
        <f t="shared" si="8"/>
        <v>[]</v>
      </c>
      <c r="V172" t="str">
        <f t="shared" si="9"/>
        <v/>
      </c>
      <c r="W172" t="str">
        <f t="shared" si="10"/>
        <v/>
      </c>
      <c r="X172" t="str">
        <f t="shared" si="11"/>
        <v/>
      </c>
    </row>
    <row r="173" spans="1:24" x14ac:dyDescent="0.25">
      <c r="A173" t="s">
        <v>984</v>
      </c>
      <c r="B173" t="s">
        <v>985</v>
      </c>
      <c r="C173" t="s">
        <v>986</v>
      </c>
      <c r="F173" t="s">
        <v>987</v>
      </c>
      <c r="L173" t="s">
        <v>24</v>
      </c>
      <c r="M173" t="s">
        <v>25</v>
      </c>
      <c r="O173" t="s">
        <v>26</v>
      </c>
      <c r="P173" t="s">
        <v>988</v>
      </c>
      <c r="Q173" t="s">
        <v>28</v>
      </c>
      <c r="R173" s="3">
        <v>41715.38690972222</v>
      </c>
      <c r="T173" t="s">
        <v>29</v>
      </c>
      <c r="U173" t="str">
        <f t="shared" si="8"/>
        <v>[]</v>
      </c>
      <c r="V173" t="str">
        <f t="shared" si="9"/>
        <v/>
      </c>
      <c r="W173" t="str">
        <f t="shared" si="10"/>
        <v/>
      </c>
      <c r="X173" t="str">
        <f t="shared" si="11"/>
        <v/>
      </c>
    </row>
    <row r="174" spans="1:24" ht="409.5" x14ac:dyDescent="0.25">
      <c r="A174" t="s">
        <v>989</v>
      </c>
      <c r="B174" t="s">
        <v>990</v>
      </c>
      <c r="C174" t="s">
        <v>991</v>
      </c>
      <c r="F174" s="2" t="s">
        <v>992</v>
      </c>
      <c r="L174" t="s">
        <v>24</v>
      </c>
      <c r="M174" t="s">
        <v>25</v>
      </c>
      <c r="O174" t="s">
        <v>26</v>
      </c>
      <c r="P174" t="s">
        <v>993</v>
      </c>
      <c r="Q174" t="s">
        <v>28</v>
      </c>
      <c r="R174" s="3">
        <v>41710.710023148145</v>
      </c>
      <c r="T174" t="s">
        <v>29</v>
      </c>
      <c r="U174" t="str">
        <f t="shared" si="8"/>
        <v>[]</v>
      </c>
      <c r="V174" t="str">
        <f t="shared" si="9"/>
        <v/>
      </c>
      <c r="W174" t="str">
        <f t="shared" si="10"/>
        <v/>
      </c>
      <c r="X174" t="str">
        <f t="shared" si="11"/>
        <v/>
      </c>
    </row>
    <row r="175" spans="1:24" ht="409.5" x14ac:dyDescent="0.25">
      <c r="A175" t="s">
        <v>994</v>
      </c>
      <c r="B175" t="s">
        <v>995</v>
      </c>
      <c r="C175" t="s">
        <v>995</v>
      </c>
      <c r="F175" s="2" t="s">
        <v>996</v>
      </c>
      <c r="L175" t="s">
        <v>24</v>
      </c>
      <c r="M175" t="s">
        <v>25</v>
      </c>
      <c r="O175" t="s">
        <v>26</v>
      </c>
      <c r="P175" t="s">
        <v>997</v>
      </c>
      <c r="Q175" t="s">
        <v>28</v>
      </c>
      <c r="R175" s="3">
        <v>42101.739444444444</v>
      </c>
      <c r="T175" t="s">
        <v>998</v>
      </c>
      <c r="U175" t="str">
        <f t="shared" si="8"/>
        <v>["146384fc-3f64-4482-a78a-2f082411a27d", "716d89ce-b0da-4158-abb6-72f562206b37", "45d684ca-6ad7-4c5e-a721-64aa31795824", "be2e0197-57b8-4fcf-a144-cb33f7466f3a", "71084c02-973d-4544-b804-7ed82bd53027", "c7e84d16-449e-4154-a1bd-603b4fae329e", "f4e80988-c139-4953-8176-b3d6d03f6449", "898afe8c-0297-45d6-b4b5-0cb9e632094b", "97ef14eb-f280-48a7-96c0-df03859b06c2", "298e6b5a-21a8-4d56-9484-1bac58c94a26", "627a9226-a907-4018-89e3-878002a9d22b", "383408d4-89b8-42df-af53-5c89f91e0cc7", "fc725989-5c3e-4bf4-89b1-68caeec4d858", "6f412521-2e9b-44b1-a3e4-8f1358caef63", "3ff63cf5-8d04-4be5-9449-96411ae9fc36", "5d642d09-8e03-4200-a79b-2a397a6d5d51", "19987402-b592-41d5-89f7-fab3ab43fa54", "87f121a7-eef0-4be9-9372-a5efe5b4d375", "3bda5fb3-a829-437f-93c3-ba347067129d", "7fcf7f09-12d7-4b06-a183-93c51f940670", "f0335765-1ab0-4e94-ab38-f404de4c3b4d", "2adc5a86-faa3-4b63-acff-a66128b811b7", "cabad01a-8cc7-48c0-b7e8-ffbe1e685b26", "64f0f230-58c8-4b74-9bcc-3e28716307ed", "92183c55-442b-405d-9046-d19b07ffc83a", "74358c31-1607-41ff-bf0</v>
      </c>
      <c r="V175" t="str">
        <f t="shared" si="9"/>
        <v>2-a4b171e3a40d", "7aea60cb-4c5b-4794-9bfc-29972c3a0842", "995a2fd3-b6b9-4240-8beb-157e83aaf963", "d6513aa8-ad7e-4127-8e9c-7ceff23847d8", "257b205d-6dfb-4e47-b279-87601e368935", "a9485d15-2f8d-4b06-b3f4-83ba7f8007a0", "24f9c1ec-7df5-41ff-8f72-320f983e97e4", "0a644521-25b9-4930-a55e-debf76547a80", "4904b8e4-a002-4bcd-bda3-d496eab8fda4", "19247271-ae6d-41ad-9f8d-065542303dd3", "e4f659bd-ab8e-4bed-9955-bf26d76dc25b", "8a59dc9f-810b-43f1-a960-99ec6d1d0322", "5cf0474a-f6e7-4e27-8617-09bd8b405c56", "fbb0e4f8-8b03-47e5-9664-1823d62b8721", "ea1794c4-dbb8-4a55-b597-33b2cbdd62c6", "5e1ca1e8-0ecc-4875-9f03-0954bfd9a701", "ee80ef4e-a3d6-45ac-ae8e-862fcbe31e0d", "4c790f0e-052b-442c-9e96-bc87b88a043b", "3bb93411-5d34-4cf5-a1f0-664168c0db24", "82e52a92-c2d3-494c-991f-1d9d41ff0dc9", "1cb37603-9742-4987-b39e-02dab284cf94", "0eb9c379-1bc5-43e8-8d1d-72697f23f4a6", "973d2ade-0d91-4c6f-b2d6-e19e6211d4fe", "a16d2431-eeec-4e76-8280-b1ac7b4082ff", "53b70911-67ee-459b-a573-130272275a91", "f35b2a10-4d8b-40f3-9eb7-15d84c2f7f58", "1ac8b6</v>
      </c>
      <c r="W175" t="str">
        <f t="shared" si="10"/>
        <v>93-987f-47bd-ac7b-f432b01a04a3", "8d72f56e-c5ec-4160-bf66-ed8d5dc6b60a", "692e6b08-f8c3-4d1b-98b0-819a65549f07"]</v>
      </c>
      <c r="X175" t="str">
        <f t="shared" si="11"/>
        <v/>
      </c>
    </row>
    <row r="176" spans="1:24" x14ac:dyDescent="0.25">
      <c r="A176" t="s">
        <v>999</v>
      </c>
      <c r="B176" t="s">
        <v>1000</v>
      </c>
      <c r="C176" t="s">
        <v>1001</v>
      </c>
      <c r="F176" t="s">
        <v>1002</v>
      </c>
      <c r="L176" t="s">
        <v>24</v>
      </c>
      <c r="M176" t="s">
        <v>25</v>
      </c>
      <c r="O176" t="s">
        <v>26</v>
      </c>
      <c r="P176" t="s">
        <v>1003</v>
      </c>
      <c r="Q176" t="s">
        <v>28</v>
      </c>
      <c r="R176" s="3">
        <v>42173.441168981481</v>
      </c>
      <c r="T176" t="s">
        <v>1004</v>
      </c>
      <c r="U176" t="str">
        <f t="shared" si="8"/>
        <v>["522d3045-0b37-48d0-b868-57c99726b1c4", "21fca925-12ac-4215-ba1a-a9c73cb3b082", "9c203fec-dc0d-412c-a7a3-7fd77d0346f1"]</v>
      </c>
      <c r="V176" t="str">
        <f t="shared" si="9"/>
        <v/>
      </c>
      <c r="W176" t="str">
        <f t="shared" si="10"/>
        <v/>
      </c>
      <c r="X176" t="str">
        <f t="shared" si="11"/>
        <v/>
      </c>
    </row>
    <row r="177" spans="1:24" x14ac:dyDescent="0.25">
      <c r="A177" t="s">
        <v>1005</v>
      </c>
      <c r="B177" t="s">
        <v>1006</v>
      </c>
      <c r="C177" t="s">
        <v>1007</v>
      </c>
      <c r="F177" t="s">
        <v>1008</v>
      </c>
      <c r="L177" t="s">
        <v>24</v>
      </c>
      <c r="M177" t="s">
        <v>25</v>
      </c>
      <c r="O177" t="s">
        <v>26</v>
      </c>
      <c r="P177" t="s">
        <v>1009</v>
      </c>
      <c r="Q177" t="s">
        <v>28</v>
      </c>
      <c r="R177" s="3">
        <v>41897.425104166665</v>
      </c>
      <c r="T177" t="s">
        <v>29</v>
      </c>
      <c r="U177" t="str">
        <f t="shared" si="8"/>
        <v>[]</v>
      </c>
      <c r="V177" t="str">
        <f t="shared" si="9"/>
        <v/>
      </c>
      <c r="W177" t="str">
        <f t="shared" si="10"/>
        <v/>
      </c>
      <c r="X177" t="str">
        <f t="shared" si="11"/>
        <v/>
      </c>
    </row>
    <row r="178" spans="1:24" x14ac:dyDescent="0.25">
      <c r="A178" t="s">
        <v>1010</v>
      </c>
      <c r="B178" t="s">
        <v>1011</v>
      </c>
      <c r="C178" t="s">
        <v>1012</v>
      </c>
      <c r="F178" t="s">
        <v>1013</v>
      </c>
      <c r="L178" t="s">
        <v>24</v>
      </c>
      <c r="M178" t="s">
        <v>25</v>
      </c>
      <c r="O178" t="s">
        <v>26</v>
      </c>
      <c r="P178" t="s">
        <v>1014</v>
      </c>
      <c r="Q178" t="s">
        <v>28</v>
      </c>
      <c r="R178" s="3">
        <v>41778.577939814815</v>
      </c>
      <c r="T178" t="s">
        <v>674</v>
      </c>
      <c r="U178" t="str">
        <f t="shared" si="8"/>
        <v>["522d3045-0b37-48d0-b868-57c99726b1c4"]</v>
      </c>
      <c r="V178" t="str">
        <f t="shared" si="9"/>
        <v/>
      </c>
      <c r="W178" t="str">
        <f t="shared" si="10"/>
        <v/>
      </c>
      <c r="X178" t="str">
        <f t="shared" si="11"/>
        <v/>
      </c>
    </row>
    <row r="179" spans="1:24" x14ac:dyDescent="0.25">
      <c r="A179" s="4" t="s">
        <v>1015</v>
      </c>
      <c r="B179" t="s">
        <v>1016</v>
      </c>
      <c r="C179" t="s">
        <v>1017</v>
      </c>
      <c r="F179" t="s">
        <v>1018</v>
      </c>
      <c r="L179" t="s">
        <v>24</v>
      </c>
      <c r="M179" t="s">
        <v>25</v>
      </c>
      <c r="O179" t="s">
        <v>26</v>
      </c>
      <c r="P179" t="s">
        <v>1019</v>
      </c>
      <c r="Q179" t="s">
        <v>28</v>
      </c>
      <c r="R179" s="3">
        <v>42030.394942129627</v>
      </c>
      <c r="T179" t="s">
        <v>1020</v>
      </c>
      <c r="U179" t="str">
        <f t="shared" si="8"/>
        <v>["98908792-f315-4834-9b5e-20fed66cbe5a", "28a7419c-f432-4e1a-b0a6-aa9e71968a14"]</v>
      </c>
      <c r="V179" t="str">
        <f t="shared" si="9"/>
        <v/>
      </c>
      <c r="W179" t="str">
        <f t="shared" si="10"/>
        <v/>
      </c>
      <c r="X179" t="str">
        <f t="shared" si="11"/>
        <v/>
      </c>
    </row>
    <row r="180" spans="1:24" ht="409.5" x14ac:dyDescent="0.25">
      <c r="A180" t="s">
        <v>1021</v>
      </c>
      <c r="B180" t="s">
        <v>1022</v>
      </c>
      <c r="C180" t="s">
        <v>1023</v>
      </c>
      <c r="F180" s="2" t="s">
        <v>1024</v>
      </c>
      <c r="L180" t="s">
        <v>24</v>
      </c>
      <c r="M180" t="s">
        <v>25</v>
      </c>
      <c r="O180" t="s">
        <v>26</v>
      </c>
      <c r="P180" t="s">
        <v>1025</v>
      </c>
      <c r="Q180" t="s">
        <v>28</v>
      </c>
      <c r="R180" s="3">
        <v>42166.589930555558</v>
      </c>
      <c r="T180" t="s">
        <v>674</v>
      </c>
      <c r="U180" t="str">
        <f t="shared" si="8"/>
        <v>["522d3045-0b37-48d0-b868-57c99726b1c4"]</v>
      </c>
      <c r="V180" t="str">
        <f t="shared" si="9"/>
        <v/>
      </c>
      <c r="W180" t="str">
        <f t="shared" si="10"/>
        <v/>
      </c>
      <c r="X180" t="str">
        <f t="shared" si="11"/>
        <v/>
      </c>
    </row>
    <row r="181" spans="1:24" ht="409.5" x14ac:dyDescent="0.25">
      <c r="A181" t="s">
        <v>1026</v>
      </c>
      <c r="B181" t="s">
        <v>1027</v>
      </c>
      <c r="C181" t="s">
        <v>1028</v>
      </c>
      <c r="F181" s="2" t="s">
        <v>1029</v>
      </c>
      <c r="L181" t="s">
        <v>24</v>
      </c>
      <c r="M181" t="s">
        <v>25</v>
      </c>
      <c r="O181" t="s">
        <v>26</v>
      </c>
      <c r="P181" t="s">
        <v>1030</v>
      </c>
      <c r="Q181" t="s">
        <v>28</v>
      </c>
      <c r="R181" s="3">
        <v>41886.525104166663</v>
      </c>
      <c r="T181" t="s">
        <v>590</v>
      </c>
      <c r="U181" t="str">
        <f t="shared" si="8"/>
        <v>["522d3045-0b37-48d0-b868-57c99726b1c4", "9c203fec-dc0d-412c-a7a3-7fd77d0346f1"]</v>
      </c>
      <c r="V181" t="str">
        <f t="shared" si="9"/>
        <v/>
      </c>
      <c r="W181" t="str">
        <f t="shared" si="10"/>
        <v/>
      </c>
      <c r="X181" t="str">
        <f t="shared" si="11"/>
        <v/>
      </c>
    </row>
    <row r="182" spans="1:24" ht="409.5" x14ac:dyDescent="0.25">
      <c r="A182" t="s">
        <v>1031</v>
      </c>
      <c r="B182" t="s">
        <v>1032</v>
      </c>
      <c r="C182" t="s">
        <v>1033</v>
      </c>
      <c r="F182" s="2" t="s">
        <v>1034</v>
      </c>
      <c r="L182" t="s">
        <v>24</v>
      </c>
      <c r="M182" t="s">
        <v>25</v>
      </c>
      <c r="O182" t="s">
        <v>26</v>
      </c>
      <c r="P182" t="s">
        <v>1035</v>
      </c>
      <c r="Q182" t="s">
        <v>28</v>
      </c>
      <c r="R182" s="3">
        <v>41782.561874999999</v>
      </c>
      <c r="T182" t="s">
        <v>803</v>
      </c>
      <c r="U182" t="str">
        <f t="shared" si="8"/>
        <v>["c223b93a-2634-4f06-ac73-8709b9e16888"]</v>
      </c>
      <c r="V182" t="str">
        <f t="shared" si="9"/>
        <v/>
      </c>
      <c r="W182" t="str">
        <f t="shared" si="10"/>
        <v/>
      </c>
      <c r="X182" t="str">
        <f t="shared" si="11"/>
        <v/>
      </c>
    </row>
    <row r="183" spans="1:24" ht="409.5" x14ac:dyDescent="0.25">
      <c r="A183" t="s">
        <v>1036</v>
      </c>
      <c r="B183" t="s">
        <v>1037</v>
      </c>
      <c r="C183" t="s">
        <v>1038</v>
      </c>
      <c r="F183" s="2" t="s">
        <v>1039</v>
      </c>
      <c r="L183" t="s">
        <v>24</v>
      </c>
      <c r="M183" t="s">
        <v>25</v>
      </c>
      <c r="O183" t="s">
        <v>26</v>
      </c>
      <c r="P183" t="s">
        <v>1040</v>
      </c>
      <c r="Q183" t="s">
        <v>28</v>
      </c>
      <c r="R183" s="3">
        <v>41813.394062500003</v>
      </c>
      <c r="T183" t="s">
        <v>797</v>
      </c>
      <c r="U183" t="str">
        <f t="shared" si="8"/>
        <v>["f660cf3f-afa9-4816-aafb-0098a36ca57d"]</v>
      </c>
      <c r="V183" t="str">
        <f t="shared" si="9"/>
        <v/>
      </c>
      <c r="W183" t="str">
        <f t="shared" si="10"/>
        <v/>
      </c>
      <c r="X183" t="str">
        <f t="shared" si="11"/>
        <v/>
      </c>
    </row>
    <row r="184" spans="1:24" x14ac:dyDescent="0.25">
      <c r="A184" t="s">
        <v>1041</v>
      </c>
      <c r="B184" t="s">
        <v>1042</v>
      </c>
      <c r="C184" t="s">
        <v>1043</v>
      </c>
      <c r="F184" t="s">
        <v>1044</v>
      </c>
      <c r="L184" t="s">
        <v>24</v>
      </c>
      <c r="M184" t="s">
        <v>25</v>
      </c>
      <c r="O184" t="s">
        <v>26</v>
      </c>
      <c r="P184" t="s">
        <v>1045</v>
      </c>
      <c r="Q184" t="s">
        <v>28</v>
      </c>
      <c r="R184" s="3">
        <v>41787.438715277778</v>
      </c>
      <c r="T184" t="s">
        <v>1046</v>
      </c>
      <c r="U184" t="str">
        <f t="shared" si="8"/>
        <v>["79c1030d-5cf6-4d58-ade6-02f66fb4dffb"]</v>
      </c>
      <c r="V184" t="str">
        <f t="shared" si="9"/>
        <v/>
      </c>
      <c r="W184" t="str">
        <f t="shared" si="10"/>
        <v/>
      </c>
      <c r="X184" t="str">
        <f t="shared" si="11"/>
        <v/>
      </c>
    </row>
    <row r="185" spans="1:24" ht="409.5" x14ac:dyDescent="0.25">
      <c r="A185" t="s">
        <v>1047</v>
      </c>
      <c r="B185" t="s">
        <v>1048</v>
      </c>
      <c r="C185" t="s">
        <v>1049</v>
      </c>
      <c r="F185" s="2" t="s">
        <v>1050</v>
      </c>
      <c r="L185" t="s">
        <v>24</v>
      </c>
      <c r="M185" t="s">
        <v>25</v>
      </c>
      <c r="O185" t="s">
        <v>26</v>
      </c>
      <c r="P185" t="s">
        <v>1051</v>
      </c>
      <c r="Q185" t="s">
        <v>28</v>
      </c>
      <c r="R185" s="3">
        <v>41807.498657407406</v>
      </c>
      <c r="T185" t="s">
        <v>674</v>
      </c>
      <c r="U185" t="str">
        <f t="shared" si="8"/>
        <v>["522d3045-0b37-48d0-b868-57c99726b1c4"]</v>
      </c>
      <c r="V185" t="str">
        <f t="shared" si="9"/>
        <v/>
      </c>
      <c r="W185" t="str">
        <f t="shared" si="10"/>
        <v/>
      </c>
      <c r="X185" t="str">
        <f t="shared" si="11"/>
        <v/>
      </c>
    </row>
    <row r="186" spans="1:24" ht="409.5" x14ac:dyDescent="0.25">
      <c r="A186" t="s">
        <v>1052</v>
      </c>
      <c r="B186" t="s">
        <v>1053</v>
      </c>
      <c r="C186" t="s">
        <v>1054</v>
      </c>
      <c r="F186" s="2" t="s">
        <v>1055</v>
      </c>
      <c r="L186" t="s">
        <v>24</v>
      </c>
      <c r="M186" t="s">
        <v>25</v>
      </c>
      <c r="O186" t="s">
        <v>26</v>
      </c>
      <c r="P186" t="s">
        <v>1056</v>
      </c>
      <c r="Q186" t="s">
        <v>28</v>
      </c>
      <c r="R186" s="3">
        <v>41792.498807870368</v>
      </c>
      <c r="T186" t="s">
        <v>1046</v>
      </c>
      <c r="U186" t="str">
        <f t="shared" si="8"/>
        <v>["79c1030d-5cf6-4d58-ade6-02f66fb4dffb"]</v>
      </c>
      <c r="V186" t="str">
        <f t="shared" si="9"/>
        <v/>
      </c>
      <c r="W186" t="str">
        <f t="shared" si="10"/>
        <v/>
      </c>
      <c r="X186" t="str">
        <f t="shared" si="11"/>
        <v/>
      </c>
    </row>
    <row r="187" spans="1:24" ht="409.5" x14ac:dyDescent="0.25">
      <c r="A187" t="s">
        <v>1057</v>
      </c>
      <c r="B187" t="s">
        <v>1058</v>
      </c>
      <c r="C187" t="s">
        <v>1059</v>
      </c>
      <c r="F187" s="2" t="s">
        <v>1060</v>
      </c>
      <c r="L187" t="s">
        <v>24</v>
      </c>
      <c r="M187" t="s">
        <v>25</v>
      </c>
      <c r="O187" t="s">
        <v>26</v>
      </c>
      <c r="P187" t="s">
        <v>1061</v>
      </c>
      <c r="Q187" t="s">
        <v>28</v>
      </c>
      <c r="R187" s="3">
        <v>41806.603703703702</v>
      </c>
      <c r="T187" t="s">
        <v>1062</v>
      </c>
      <c r="U187" t="str">
        <f t="shared" si="8"/>
        <v>["15914c77-fe9b-4853-9c74-aa64d2e79b56"]</v>
      </c>
      <c r="V187" t="str">
        <f t="shared" si="9"/>
        <v/>
      </c>
      <c r="W187" t="str">
        <f t="shared" si="10"/>
        <v/>
      </c>
      <c r="X187" t="str">
        <f t="shared" si="11"/>
        <v/>
      </c>
    </row>
    <row r="188" spans="1:24" x14ac:dyDescent="0.25">
      <c r="A188" t="s">
        <v>1063</v>
      </c>
      <c r="B188" t="s">
        <v>1064</v>
      </c>
      <c r="C188" t="s">
        <v>1065</v>
      </c>
      <c r="F188" t="s">
        <v>1066</v>
      </c>
      <c r="L188" t="s">
        <v>24</v>
      </c>
      <c r="M188" t="s">
        <v>25</v>
      </c>
      <c r="O188" t="s">
        <v>26</v>
      </c>
      <c r="P188" t="s">
        <v>1067</v>
      </c>
      <c r="Q188" t="s">
        <v>28</v>
      </c>
      <c r="R188" s="3">
        <v>42074.583993055552</v>
      </c>
      <c r="T188" t="s">
        <v>1068</v>
      </c>
      <c r="U188" t="str">
        <f t="shared" si="8"/>
        <v>["2646025c-8ab9-4850-b76c-c2f508b34798"]</v>
      </c>
      <c r="V188" t="str">
        <f t="shared" si="9"/>
        <v/>
      </c>
      <c r="W188" t="str">
        <f t="shared" si="10"/>
        <v/>
      </c>
      <c r="X188" t="str">
        <f t="shared" si="11"/>
        <v/>
      </c>
    </row>
    <row r="189" spans="1:24" x14ac:dyDescent="0.25">
      <c r="A189" t="s">
        <v>1069</v>
      </c>
      <c r="B189" t="s">
        <v>1070</v>
      </c>
      <c r="C189" t="s">
        <v>1071</v>
      </c>
      <c r="F189" t="s">
        <v>1072</v>
      </c>
      <c r="L189" t="s">
        <v>24</v>
      </c>
      <c r="M189" t="s">
        <v>25</v>
      </c>
      <c r="O189" t="s">
        <v>26</v>
      </c>
      <c r="P189" t="s">
        <v>1073</v>
      </c>
      <c r="Q189" t="s">
        <v>28</v>
      </c>
      <c r="R189" s="3">
        <v>42048.553437499999</v>
      </c>
      <c r="T189" t="s">
        <v>281</v>
      </c>
      <c r="U189" t="str">
        <f t="shared" si="8"/>
        <v>["146384fc-3f64-4482-a78a-2f082411a27d"]</v>
      </c>
      <c r="V189" t="str">
        <f t="shared" si="9"/>
        <v/>
      </c>
      <c r="W189" t="str">
        <f t="shared" si="10"/>
        <v/>
      </c>
      <c r="X189" t="str">
        <f t="shared" si="11"/>
        <v/>
      </c>
    </row>
    <row r="190" spans="1:24" ht="409.5" x14ac:dyDescent="0.25">
      <c r="A190" t="s">
        <v>1074</v>
      </c>
      <c r="B190" t="s">
        <v>1075</v>
      </c>
      <c r="C190" t="s">
        <v>1076</v>
      </c>
      <c r="F190" s="2" t="s">
        <v>1077</v>
      </c>
      <c r="L190" t="s">
        <v>24</v>
      </c>
      <c r="M190" t="s">
        <v>25</v>
      </c>
      <c r="O190" t="s">
        <v>26</v>
      </c>
      <c r="P190" t="s">
        <v>1078</v>
      </c>
      <c r="Q190" t="s">
        <v>28</v>
      </c>
      <c r="R190" s="3">
        <v>41869.587824074071</v>
      </c>
      <c r="T190" t="s">
        <v>29</v>
      </c>
      <c r="U190" t="str">
        <f t="shared" si="8"/>
        <v>[]</v>
      </c>
      <c r="V190" t="str">
        <f t="shared" si="9"/>
        <v/>
      </c>
      <c r="W190" t="str">
        <f t="shared" si="10"/>
        <v/>
      </c>
      <c r="X190" t="str">
        <f t="shared" si="11"/>
        <v/>
      </c>
    </row>
    <row r="191" spans="1:24" ht="409.5" x14ac:dyDescent="0.25">
      <c r="A191" t="s">
        <v>1079</v>
      </c>
      <c r="B191" t="s">
        <v>1080</v>
      </c>
      <c r="C191" t="s">
        <v>1081</v>
      </c>
      <c r="F191" s="2" t="s">
        <v>1082</v>
      </c>
      <c r="L191" t="s">
        <v>24</v>
      </c>
      <c r="M191" t="s">
        <v>25</v>
      </c>
      <c r="O191" t="s">
        <v>26</v>
      </c>
      <c r="P191" t="s">
        <v>1083</v>
      </c>
      <c r="Q191" t="s">
        <v>28</v>
      </c>
      <c r="R191" s="3">
        <v>41870.366400462961</v>
      </c>
      <c r="T191" t="s">
        <v>1084</v>
      </c>
      <c r="U191" t="str">
        <f t="shared" si="8"/>
        <v>["45d684ca-6ad7-4c5e-a721-64aa31795824", "f4e80988-c139-4953-8176-b3d6d03f6449", "f7bd721a-1f72-4bef-a38c-792f59cc8fe3", "a42cbe4f-89f0-42ae-a34d-f2e5db6aa1d2", "7c6e9dbf-487b-4146-a379-19e46642c392", "2adc5a86-faa3-4b63-acff-a66128b811b7", "523ba2e4-8c55-4dde-8acf-39e3621811b0", "c6fc4688-1aca-4363-bd1a-8d14ea08d2f8", "3ff63cf5-8d04-4be5-9449-96411ae9fc36", "6f412521-2e9b-44b1-a3e4-8f1358caef63", "354f9aa0-2f0a-4cdf-9b60-d023da93cc76", "898afe8c-0297-45d6-b4b5-0cb9e632094b", "2ed52078-7e55-40ea-8036-0d89118a06f4", "aab0a0be-89e6-442e-8cf9-e762bd18f76b", "146384fc-3f64-4482-a78a-2f082411a27d", "de64ade8-5025-40f9-a2e0-15b72797e6a7", "7fcf7f09-12d7-4b06-a183-93c51f940670", "be2e0197-57b8-4fcf-a144-cb33f7466f3a", "383408d4-89b8-42df-af53-5c89f91e0cc7", "97ef14eb-f280-48a7-96c0-df03859b06c2", "21fca925-12ac-4215-ba1a-a9c73cb3b082"]</v>
      </c>
      <c r="V191" t="str">
        <f t="shared" si="9"/>
        <v/>
      </c>
      <c r="W191" t="str">
        <f t="shared" si="10"/>
        <v/>
      </c>
      <c r="X191" t="str">
        <f t="shared" si="11"/>
        <v/>
      </c>
    </row>
    <row r="192" spans="1:24" x14ac:dyDescent="0.25">
      <c r="A192" t="s">
        <v>1085</v>
      </c>
      <c r="B192" t="s">
        <v>1086</v>
      </c>
      <c r="C192" t="s">
        <v>1087</v>
      </c>
      <c r="F192" t="s">
        <v>1088</v>
      </c>
      <c r="L192" t="s">
        <v>24</v>
      </c>
      <c r="M192" t="s">
        <v>25</v>
      </c>
      <c r="O192" t="s">
        <v>26</v>
      </c>
      <c r="P192" t="s">
        <v>1089</v>
      </c>
      <c r="Q192" t="s">
        <v>28</v>
      </c>
      <c r="R192" s="3">
        <v>41870.383263888885</v>
      </c>
      <c r="T192" t="s">
        <v>1090</v>
      </c>
      <c r="U192" t="str">
        <f t="shared" si="8"/>
        <v>["bd871bb0-55a4-47aa-8926-04c59fdc8ef5"]</v>
      </c>
      <c r="V192" t="str">
        <f t="shared" si="9"/>
        <v/>
      </c>
      <c r="W192" t="str">
        <f t="shared" si="10"/>
        <v/>
      </c>
      <c r="X192" t="str">
        <f t="shared" si="11"/>
        <v/>
      </c>
    </row>
    <row r="193" spans="1:24" x14ac:dyDescent="0.25">
      <c r="A193" t="s">
        <v>1091</v>
      </c>
      <c r="B193" t="s">
        <v>1092</v>
      </c>
      <c r="C193" t="s">
        <v>1093</v>
      </c>
      <c r="F193" t="s">
        <v>1094</v>
      </c>
      <c r="L193" t="s">
        <v>24</v>
      </c>
      <c r="M193" t="s">
        <v>25</v>
      </c>
      <c r="O193" t="s">
        <v>26</v>
      </c>
      <c r="P193" t="s">
        <v>1095</v>
      </c>
      <c r="Q193" t="s">
        <v>28</v>
      </c>
      <c r="R193" s="3">
        <v>41870.386655092596</v>
      </c>
      <c r="T193" t="s">
        <v>1096</v>
      </c>
      <c r="U193" t="str">
        <f t="shared" si="8"/>
        <v>["9b40a0af-a6fe-47ff-9624-2ea8f40c746f"]</v>
      </c>
      <c r="V193" t="str">
        <f t="shared" si="9"/>
        <v/>
      </c>
      <c r="W193" t="str">
        <f t="shared" si="10"/>
        <v/>
      </c>
      <c r="X193" t="str">
        <f t="shared" si="11"/>
        <v/>
      </c>
    </row>
    <row r="194" spans="1:24" x14ac:dyDescent="0.25">
      <c r="A194" t="s">
        <v>1097</v>
      </c>
      <c r="B194" t="s">
        <v>1098</v>
      </c>
      <c r="C194" t="s">
        <v>1099</v>
      </c>
      <c r="F194" t="s">
        <v>1100</v>
      </c>
      <c r="L194" t="s">
        <v>24</v>
      </c>
      <c r="M194" t="s">
        <v>25</v>
      </c>
      <c r="O194" t="s">
        <v>26</v>
      </c>
      <c r="P194" t="s">
        <v>1101</v>
      </c>
      <c r="Q194" t="s">
        <v>28</v>
      </c>
      <c r="R194" s="3">
        <v>41995.539513888885</v>
      </c>
      <c r="T194" t="s">
        <v>1102</v>
      </c>
      <c r="U194" t="str">
        <f t="shared" si="8"/>
        <v>["8dfe02c3-c8b6-4c0e-84ec-7dad6be0b673"]</v>
      </c>
      <c r="V194" t="str">
        <f t="shared" si="9"/>
        <v/>
      </c>
      <c r="W194" t="str">
        <f t="shared" si="10"/>
        <v/>
      </c>
      <c r="X194" t="str">
        <f t="shared" si="11"/>
        <v/>
      </c>
    </row>
    <row r="195" spans="1:24" ht="409.5" x14ac:dyDescent="0.25">
      <c r="A195" t="s">
        <v>1103</v>
      </c>
      <c r="B195" t="s">
        <v>1104</v>
      </c>
      <c r="C195" t="s">
        <v>1105</v>
      </c>
      <c r="F195" s="2" t="s">
        <v>1106</v>
      </c>
      <c r="L195" t="s">
        <v>24</v>
      </c>
      <c r="M195" t="s">
        <v>25</v>
      </c>
      <c r="O195" t="s">
        <v>26</v>
      </c>
      <c r="P195" s="3">
        <v>45454.260034722225</v>
      </c>
      <c r="Q195" t="s">
        <v>28</v>
      </c>
      <c r="R195" s="3">
        <v>42083.545578703706</v>
      </c>
      <c r="T195" t="s">
        <v>1107</v>
      </c>
      <c r="U195" t="str">
        <f t="shared" ref="U195:U258" si="12">LEFT(T195, 1024)</f>
        <v>["a01bd054-65f7-4433-b852-6c8f926a4da0"]</v>
      </c>
      <c r="V195" t="str">
        <f t="shared" ref="V195:V258" si="13">MID(T195, 1025, 1024)</f>
        <v/>
      </c>
      <c r="W195" t="str">
        <f t="shared" ref="W195:W258" si="14">MID(T195, 2049, 1024)</f>
        <v/>
      </c>
      <c r="X195" t="str">
        <f t="shared" ref="X195:X258" si="15">MID(T195, 3073, 1024)</f>
        <v/>
      </c>
    </row>
    <row r="196" spans="1:24" x14ac:dyDescent="0.25">
      <c r="A196" t="s">
        <v>1108</v>
      </c>
      <c r="B196" t="s">
        <v>1109</v>
      </c>
      <c r="C196" t="s">
        <v>1110</v>
      </c>
      <c r="F196" t="s">
        <v>1111</v>
      </c>
      <c r="L196" t="s">
        <v>24</v>
      </c>
      <c r="M196" t="s">
        <v>25</v>
      </c>
      <c r="O196" t="s">
        <v>26</v>
      </c>
      <c r="P196" t="s">
        <v>1112</v>
      </c>
      <c r="Q196" t="s">
        <v>28</v>
      </c>
      <c r="R196" s="3">
        <v>42023.376747685186</v>
      </c>
      <c r="T196" t="s">
        <v>1113</v>
      </c>
      <c r="U196" t="str">
        <f t="shared" si="12"/>
        <v>["298e6b5a-21a8-4d56-9484-1bac58c94a26", "f0335765-1ab0-4e94-ab38-f404de4c3b4d", "3e62e13e-3955-494a-91b3-f00ab9e84b48", "be2e0197-57b8-4fcf-a144-cb33f7466f3a", "146384fc-3f64-4482-a78a-2f082411a27d", "5d642d09-8e03-4200-a79b-2a397a6d5d51", "7fcf7f09-12d7-4b06-a183-93c51f940670", "d9321ccf-d303-4cfb-a24b-32aba49cef81", "6f412521-2e9b-44b1-a3e4-8f1358caef63", "f4e80988-c139-4953-8176-b3d6d03f6449"]</v>
      </c>
      <c r="V196" t="str">
        <f t="shared" si="13"/>
        <v/>
      </c>
      <c r="W196" t="str">
        <f t="shared" si="14"/>
        <v/>
      </c>
      <c r="X196" t="str">
        <f t="shared" si="15"/>
        <v/>
      </c>
    </row>
    <row r="197" spans="1:24" ht="409.5" x14ac:dyDescent="0.25">
      <c r="A197" t="s">
        <v>1114</v>
      </c>
      <c r="B197" t="s">
        <v>1115</v>
      </c>
      <c r="C197" t="s">
        <v>1116</v>
      </c>
      <c r="F197" s="2" t="s">
        <v>1117</v>
      </c>
      <c r="L197" t="s">
        <v>24</v>
      </c>
      <c r="M197" t="s">
        <v>25</v>
      </c>
      <c r="O197" t="s">
        <v>26</v>
      </c>
      <c r="P197" t="s">
        <v>1118</v>
      </c>
      <c r="Q197" t="s">
        <v>28</v>
      </c>
      <c r="R197" s="3">
        <v>42151.572997685187</v>
      </c>
      <c r="T197" t="s">
        <v>1119</v>
      </c>
      <c r="U197" t="str">
        <f t="shared" si="12"/>
        <v>["c1ba372b-dba2-4bce-b72e-b5c832eaaf44", "2c54f4d6-5712-4e5a-a025-b7f7a396c39b"]</v>
      </c>
      <c r="V197" t="str">
        <f t="shared" si="13"/>
        <v/>
      </c>
      <c r="W197" t="str">
        <f t="shared" si="14"/>
        <v/>
      </c>
      <c r="X197" t="str">
        <f t="shared" si="15"/>
        <v/>
      </c>
    </row>
    <row r="198" spans="1:24" ht="409.5" x14ac:dyDescent="0.25">
      <c r="A198" t="s">
        <v>1120</v>
      </c>
      <c r="B198" t="s">
        <v>1121</v>
      </c>
      <c r="C198" t="s">
        <v>1122</v>
      </c>
      <c r="F198" s="2" t="s">
        <v>1123</v>
      </c>
      <c r="L198" t="s">
        <v>24</v>
      </c>
      <c r="M198" t="s">
        <v>25</v>
      </c>
      <c r="O198" t="s">
        <v>26</v>
      </c>
      <c r="P198" t="s">
        <v>1124</v>
      </c>
      <c r="Q198" t="s">
        <v>28</v>
      </c>
      <c r="R198" s="3">
        <v>42023.413124999999</v>
      </c>
      <c r="T198" t="s">
        <v>1125</v>
      </c>
      <c r="U198" t="str">
        <f t="shared" si="12"/>
        <v>["45d684ca-6ad7-4c5e-a721-64aa31795824"]</v>
      </c>
      <c r="V198" t="str">
        <f t="shared" si="13"/>
        <v/>
      </c>
      <c r="W198" t="str">
        <f t="shared" si="14"/>
        <v/>
      </c>
      <c r="X198" t="str">
        <f t="shared" si="15"/>
        <v/>
      </c>
    </row>
    <row r="199" spans="1:24" ht="409.5" x14ac:dyDescent="0.25">
      <c r="A199" t="s">
        <v>1126</v>
      </c>
      <c r="B199" t="s">
        <v>1127</v>
      </c>
      <c r="C199" t="s">
        <v>1128</v>
      </c>
      <c r="F199" s="2" t="s">
        <v>1129</v>
      </c>
      <c r="L199" t="s">
        <v>24</v>
      </c>
      <c r="M199" t="s">
        <v>25</v>
      </c>
      <c r="O199" t="s">
        <v>26</v>
      </c>
      <c r="P199" t="s">
        <v>1130</v>
      </c>
      <c r="Q199" t="s">
        <v>28</v>
      </c>
      <c r="R199" s="3">
        <v>41919.495613425926</v>
      </c>
      <c r="T199" t="s">
        <v>311</v>
      </c>
      <c r="U199" t="str">
        <f t="shared" si="12"/>
        <v>["b01585af-110f-4f87-9bf1-06805605926c"]</v>
      </c>
      <c r="V199" t="str">
        <f t="shared" si="13"/>
        <v/>
      </c>
      <c r="W199" t="str">
        <f t="shared" si="14"/>
        <v/>
      </c>
      <c r="X199" t="str">
        <f t="shared" si="15"/>
        <v/>
      </c>
    </row>
    <row r="200" spans="1:24" ht="409.5" x14ac:dyDescent="0.25">
      <c r="A200" t="s">
        <v>1131</v>
      </c>
      <c r="B200" t="s">
        <v>1132</v>
      </c>
      <c r="C200" t="s">
        <v>1133</v>
      </c>
      <c r="F200" s="2" t="s">
        <v>1134</v>
      </c>
      <c r="L200" t="s">
        <v>24</v>
      </c>
      <c r="M200" t="s">
        <v>25</v>
      </c>
      <c r="O200" t="s">
        <v>26</v>
      </c>
      <c r="P200" t="s">
        <v>1135</v>
      </c>
      <c r="Q200" t="s">
        <v>28</v>
      </c>
      <c r="R200" s="3">
        <v>41967.626192129632</v>
      </c>
      <c r="T200" t="s">
        <v>674</v>
      </c>
      <c r="U200" t="str">
        <f t="shared" si="12"/>
        <v>["522d3045-0b37-48d0-b868-57c99726b1c4"]</v>
      </c>
      <c r="V200" t="str">
        <f t="shared" si="13"/>
        <v/>
      </c>
      <c r="W200" t="str">
        <f t="shared" si="14"/>
        <v/>
      </c>
      <c r="X200" t="str">
        <f t="shared" si="15"/>
        <v/>
      </c>
    </row>
    <row r="201" spans="1:24" x14ac:dyDescent="0.25">
      <c r="A201" t="s">
        <v>1136</v>
      </c>
      <c r="B201" t="s">
        <v>1137</v>
      </c>
      <c r="C201" t="s">
        <v>1137</v>
      </c>
      <c r="F201" t="s">
        <v>1138</v>
      </c>
      <c r="L201" t="s">
        <v>24</v>
      </c>
      <c r="M201" t="s">
        <v>25</v>
      </c>
      <c r="O201" t="s">
        <v>26</v>
      </c>
      <c r="P201" t="s">
        <v>1139</v>
      </c>
      <c r="Q201" t="s">
        <v>28</v>
      </c>
      <c r="R201" s="3">
        <v>42128.013518518521</v>
      </c>
      <c r="T201" t="s">
        <v>433</v>
      </c>
      <c r="U201" t="str">
        <f t="shared" si="12"/>
        <v>["2c54f4d6-5712-4e5a-a025-b7f7a396c39b"]</v>
      </c>
      <c r="V201" t="str">
        <f t="shared" si="13"/>
        <v/>
      </c>
      <c r="W201" t="str">
        <f t="shared" si="14"/>
        <v/>
      </c>
      <c r="X201" t="str">
        <f t="shared" si="15"/>
        <v/>
      </c>
    </row>
    <row r="202" spans="1:24" ht="409.5" x14ac:dyDescent="0.25">
      <c r="A202" t="s">
        <v>1140</v>
      </c>
      <c r="B202" t="s">
        <v>1141</v>
      </c>
      <c r="C202" t="s">
        <v>1142</v>
      </c>
      <c r="F202" s="2" t="s">
        <v>1143</v>
      </c>
      <c r="L202" t="s">
        <v>24</v>
      </c>
      <c r="M202" t="s">
        <v>25</v>
      </c>
      <c r="O202" t="s">
        <v>26</v>
      </c>
      <c r="P202" t="s">
        <v>1144</v>
      </c>
      <c r="Q202" t="s">
        <v>28</v>
      </c>
      <c r="R202" s="3">
        <v>42189.036562499998</v>
      </c>
      <c r="T202" t="s">
        <v>433</v>
      </c>
      <c r="U202" t="str">
        <f t="shared" si="12"/>
        <v>["2c54f4d6-5712-4e5a-a025-b7f7a396c39b"]</v>
      </c>
      <c r="V202" t="str">
        <f t="shared" si="13"/>
        <v/>
      </c>
      <c r="W202" t="str">
        <f t="shared" si="14"/>
        <v/>
      </c>
      <c r="X202" t="str">
        <f t="shared" si="15"/>
        <v/>
      </c>
    </row>
    <row r="203" spans="1:24" x14ac:dyDescent="0.25">
      <c r="A203" t="s">
        <v>1145</v>
      </c>
      <c r="B203" t="s">
        <v>1146</v>
      </c>
      <c r="C203" t="s">
        <v>1147</v>
      </c>
      <c r="F203" t="s">
        <v>1148</v>
      </c>
      <c r="L203" t="s">
        <v>24</v>
      </c>
      <c r="M203" t="s">
        <v>25</v>
      </c>
      <c r="O203" t="s">
        <v>26</v>
      </c>
      <c r="P203" t="s">
        <v>1149</v>
      </c>
      <c r="Q203" t="s">
        <v>28</v>
      </c>
      <c r="R203" s="3">
        <v>42170.610983796294</v>
      </c>
      <c r="T203" t="s">
        <v>1150</v>
      </c>
      <c r="U203" t="str">
        <f t="shared" si="12"/>
        <v>["1f4a62eb-6f1a-4bfe-b7cd-e6dede0be00a"]</v>
      </c>
      <c r="V203" t="str">
        <f t="shared" si="13"/>
        <v/>
      </c>
      <c r="W203" t="str">
        <f t="shared" si="14"/>
        <v/>
      </c>
      <c r="X203" t="str">
        <f t="shared" si="15"/>
        <v/>
      </c>
    </row>
    <row r="204" spans="1:24" ht="409.5" x14ac:dyDescent="0.25">
      <c r="A204" t="s">
        <v>1151</v>
      </c>
      <c r="B204" t="s">
        <v>1152</v>
      </c>
      <c r="C204" t="s">
        <v>1153</v>
      </c>
      <c r="F204" s="2" t="s">
        <v>1154</v>
      </c>
      <c r="L204" t="s">
        <v>24</v>
      </c>
      <c r="M204" t="s">
        <v>25</v>
      </c>
      <c r="O204" t="s">
        <v>26</v>
      </c>
      <c r="P204" t="s">
        <v>1155</v>
      </c>
      <c r="Q204" t="s">
        <v>28</v>
      </c>
      <c r="R204" s="3">
        <v>42305.637291666666</v>
      </c>
      <c r="T204" t="s">
        <v>29</v>
      </c>
      <c r="U204" t="str">
        <f t="shared" si="12"/>
        <v>[]</v>
      </c>
      <c r="V204" t="str">
        <f t="shared" si="13"/>
        <v/>
      </c>
      <c r="W204" t="str">
        <f t="shared" si="14"/>
        <v/>
      </c>
      <c r="X204" t="str">
        <f t="shared" si="15"/>
        <v/>
      </c>
    </row>
    <row r="205" spans="1:24" ht="409.5" x14ac:dyDescent="0.25">
      <c r="A205" s="4" t="s">
        <v>1156</v>
      </c>
      <c r="B205" t="s">
        <v>1157</v>
      </c>
      <c r="C205" t="s">
        <v>1158</v>
      </c>
      <c r="F205" s="2" t="s">
        <v>1159</v>
      </c>
      <c r="L205" t="s">
        <v>24</v>
      </c>
      <c r="M205" t="s">
        <v>25</v>
      </c>
      <c r="O205" t="s">
        <v>26</v>
      </c>
      <c r="P205" t="s">
        <v>1160</v>
      </c>
      <c r="Q205" t="s">
        <v>28</v>
      </c>
      <c r="R205" s="3">
        <v>42255.464259259257</v>
      </c>
      <c r="T205" t="s">
        <v>1161</v>
      </c>
      <c r="U205" t="str">
        <f t="shared" si="12"/>
        <v>["42b1da9c-72f8-4155-92c5-01b01696b1b7", "128e3b47-1e44-3791-bee2-3b06b2cd58f4"]</v>
      </c>
      <c r="V205" t="str">
        <f t="shared" si="13"/>
        <v/>
      </c>
      <c r="W205" t="str">
        <f t="shared" si="14"/>
        <v/>
      </c>
      <c r="X205" t="str">
        <f t="shared" si="15"/>
        <v/>
      </c>
    </row>
    <row r="206" spans="1:24" x14ac:dyDescent="0.25">
      <c r="A206" t="s">
        <v>1162</v>
      </c>
      <c r="B206" t="s">
        <v>1163</v>
      </c>
      <c r="C206" t="s">
        <v>1164</v>
      </c>
      <c r="F206" t="s">
        <v>1165</v>
      </c>
      <c r="L206" t="s">
        <v>24</v>
      </c>
      <c r="M206" t="s">
        <v>25</v>
      </c>
      <c r="O206" t="s">
        <v>26</v>
      </c>
      <c r="P206" t="s">
        <v>1166</v>
      </c>
      <c r="Q206" t="s">
        <v>28</v>
      </c>
      <c r="R206" s="3">
        <v>42366.046423611115</v>
      </c>
      <c r="T206" t="s">
        <v>433</v>
      </c>
      <c r="U206" t="str">
        <f t="shared" si="12"/>
        <v>["2c54f4d6-5712-4e5a-a025-b7f7a396c39b"]</v>
      </c>
      <c r="V206" t="str">
        <f t="shared" si="13"/>
        <v/>
      </c>
      <c r="W206" t="str">
        <f t="shared" si="14"/>
        <v/>
      </c>
      <c r="X206" t="str">
        <f t="shared" si="15"/>
        <v/>
      </c>
    </row>
    <row r="207" spans="1:24" x14ac:dyDescent="0.25">
      <c r="A207" t="s">
        <v>1167</v>
      </c>
      <c r="B207" t="s">
        <v>1168</v>
      </c>
      <c r="C207" t="s">
        <v>1169</v>
      </c>
      <c r="F207" t="s">
        <v>1170</v>
      </c>
      <c r="L207" t="s">
        <v>24</v>
      </c>
      <c r="M207" t="s">
        <v>25</v>
      </c>
      <c r="O207" t="s">
        <v>26</v>
      </c>
      <c r="P207" t="s">
        <v>1171</v>
      </c>
      <c r="Q207" t="s">
        <v>28</v>
      </c>
      <c r="R207" s="3">
        <v>42401.476354166669</v>
      </c>
      <c r="T207" t="s">
        <v>1150</v>
      </c>
      <c r="U207" t="str">
        <f t="shared" si="12"/>
        <v>["1f4a62eb-6f1a-4bfe-b7cd-e6dede0be00a"]</v>
      </c>
      <c r="V207" t="str">
        <f t="shared" si="13"/>
        <v/>
      </c>
      <c r="W207" t="str">
        <f t="shared" si="14"/>
        <v/>
      </c>
      <c r="X207" t="str">
        <f t="shared" si="15"/>
        <v/>
      </c>
    </row>
    <row r="208" spans="1:24" x14ac:dyDescent="0.25">
      <c r="A208" t="s">
        <v>1172</v>
      </c>
      <c r="B208" t="s">
        <v>1173</v>
      </c>
      <c r="C208" t="s">
        <v>1174</v>
      </c>
      <c r="F208" t="s">
        <v>1175</v>
      </c>
      <c r="L208" t="s">
        <v>24</v>
      </c>
      <c r="M208" t="s">
        <v>25</v>
      </c>
      <c r="O208" t="s">
        <v>26</v>
      </c>
      <c r="P208" t="s">
        <v>1176</v>
      </c>
      <c r="Q208" t="s">
        <v>28</v>
      </c>
      <c r="R208" s="3">
        <v>42151.482893518521</v>
      </c>
      <c r="T208" t="s">
        <v>311</v>
      </c>
      <c r="U208" t="str">
        <f t="shared" si="12"/>
        <v>["b01585af-110f-4f87-9bf1-06805605926c"]</v>
      </c>
      <c r="V208" t="str">
        <f t="shared" si="13"/>
        <v/>
      </c>
      <c r="W208" t="str">
        <f t="shared" si="14"/>
        <v/>
      </c>
      <c r="X208" t="str">
        <f t="shared" si="15"/>
        <v/>
      </c>
    </row>
    <row r="209" spans="1:24" x14ac:dyDescent="0.25">
      <c r="A209" t="s">
        <v>1177</v>
      </c>
      <c r="B209" t="s">
        <v>1178</v>
      </c>
      <c r="C209" t="s">
        <v>1179</v>
      </c>
      <c r="F209" t="s">
        <v>1180</v>
      </c>
      <c r="L209" t="s">
        <v>24</v>
      </c>
      <c r="M209" t="s">
        <v>25</v>
      </c>
      <c r="O209" t="s">
        <v>26</v>
      </c>
      <c r="P209" t="s">
        <v>1181</v>
      </c>
      <c r="Q209" t="s">
        <v>28</v>
      </c>
      <c r="R209" s="3">
        <v>42151.500844907408</v>
      </c>
      <c r="T209" t="s">
        <v>1182</v>
      </c>
      <c r="U209" t="str">
        <f t="shared" si="12"/>
        <v>["6858b208-62bc-424e-9d7b-c89b74d3d3e3", "aa8876c7-9711-4969-b428-34400f2d0dbe", "8a528b7f-98af-4893-af73-5d5f26d3aa7c", "4111e2d8-1729-4953-899a-c55bc382857e", "627a9226-a907-4018-89e3-878002a9d22b", "6d92970a-d698-418b-8576-f3b03dc1a59a"]</v>
      </c>
      <c r="V209" t="str">
        <f t="shared" si="13"/>
        <v/>
      </c>
      <c r="W209" t="str">
        <f t="shared" si="14"/>
        <v/>
      </c>
      <c r="X209" t="str">
        <f t="shared" si="15"/>
        <v/>
      </c>
    </row>
    <row r="210" spans="1:24" x14ac:dyDescent="0.25">
      <c r="A210" t="s">
        <v>1183</v>
      </c>
      <c r="B210" t="s">
        <v>1184</v>
      </c>
      <c r="C210" t="s">
        <v>1185</v>
      </c>
      <c r="F210" t="s">
        <v>1186</v>
      </c>
      <c r="L210" t="s">
        <v>24</v>
      </c>
      <c r="M210" t="s">
        <v>25</v>
      </c>
      <c r="O210" t="s">
        <v>26</v>
      </c>
      <c r="P210" t="s">
        <v>1187</v>
      </c>
      <c r="Q210" t="s">
        <v>28</v>
      </c>
      <c r="R210" s="3">
        <v>42198.609548611108</v>
      </c>
      <c r="T210" t="s">
        <v>1188</v>
      </c>
      <c r="U210" t="str">
        <f t="shared" si="12"/>
        <v>["02ad6e25-2698-405f-a37b-99745b1ac69c"]</v>
      </c>
      <c r="V210" t="str">
        <f t="shared" si="13"/>
        <v/>
      </c>
      <c r="W210" t="str">
        <f t="shared" si="14"/>
        <v/>
      </c>
      <c r="X210" t="str">
        <f t="shared" si="15"/>
        <v/>
      </c>
    </row>
    <row r="211" spans="1:24" x14ac:dyDescent="0.25">
      <c r="A211" t="s">
        <v>1189</v>
      </c>
      <c r="B211" t="s">
        <v>1190</v>
      </c>
      <c r="C211" t="s">
        <v>1191</v>
      </c>
      <c r="F211" t="s">
        <v>1192</v>
      </c>
      <c r="L211" t="s">
        <v>24</v>
      </c>
      <c r="M211" t="s">
        <v>25</v>
      </c>
      <c r="O211" t="s">
        <v>26</v>
      </c>
      <c r="P211" t="s">
        <v>1193</v>
      </c>
      <c r="Q211" t="s">
        <v>28</v>
      </c>
      <c r="R211" s="3">
        <v>42151.570879629631</v>
      </c>
      <c r="T211" t="s">
        <v>1194</v>
      </c>
      <c r="U211" t="str">
        <f t="shared" si="12"/>
        <v>["71a6ca86-228a-4b57-b1bc-c3b887dd009e", "5983a1bb-62b6-4e26-afd0-dc234b34cf4b", "6d92970a-d698-418b-8576-f3b03dc1a59a", "4111e2d8-1729-4953-899a-c55bc382857e"]</v>
      </c>
      <c r="V211" t="str">
        <f t="shared" si="13"/>
        <v/>
      </c>
      <c r="W211" t="str">
        <f t="shared" si="14"/>
        <v/>
      </c>
      <c r="X211" t="str">
        <f t="shared" si="15"/>
        <v/>
      </c>
    </row>
    <row r="212" spans="1:24" x14ac:dyDescent="0.25">
      <c r="A212" t="s">
        <v>1195</v>
      </c>
      <c r="B212" t="s">
        <v>1196</v>
      </c>
      <c r="C212" t="s">
        <v>1197</v>
      </c>
      <c r="F212" t="s">
        <v>1198</v>
      </c>
      <c r="L212" t="s">
        <v>24</v>
      </c>
      <c r="M212" t="s">
        <v>25</v>
      </c>
      <c r="O212" t="s">
        <v>26</v>
      </c>
      <c r="P212" t="s">
        <v>1199</v>
      </c>
      <c r="Q212" t="s">
        <v>28</v>
      </c>
      <c r="R212" s="3">
        <v>42366.050613425927</v>
      </c>
      <c r="T212" t="s">
        <v>433</v>
      </c>
      <c r="U212" t="str">
        <f t="shared" si="12"/>
        <v>["2c54f4d6-5712-4e5a-a025-b7f7a396c39b"]</v>
      </c>
      <c r="V212" t="str">
        <f t="shared" si="13"/>
        <v/>
      </c>
      <c r="W212" t="str">
        <f t="shared" si="14"/>
        <v/>
      </c>
      <c r="X212" t="str">
        <f t="shared" si="15"/>
        <v/>
      </c>
    </row>
    <row r="213" spans="1:24" ht="409.5" x14ac:dyDescent="0.25">
      <c r="A213" t="s">
        <v>1200</v>
      </c>
      <c r="B213" t="s">
        <v>1201</v>
      </c>
      <c r="C213" t="s">
        <v>1202</v>
      </c>
      <c r="F213" s="2" t="s">
        <v>1203</v>
      </c>
      <c r="L213" t="s">
        <v>24</v>
      </c>
      <c r="M213" t="s">
        <v>25</v>
      </c>
      <c r="O213" t="s">
        <v>26</v>
      </c>
      <c r="P213" t="s">
        <v>1204</v>
      </c>
      <c r="Q213" t="s">
        <v>28</v>
      </c>
      <c r="R213" s="3">
        <v>42779.070092592592</v>
      </c>
      <c r="T213" t="s">
        <v>1205</v>
      </c>
      <c r="U213" t="str">
        <f t="shared" si="12"/>
        <v>["71edef44-9d6c-4042-ab71-7207dc930ba7"]</v>
      </c>
      <c r="V213" t="str">
        <f t="shared" si="13"/>
        <v/>
      </c>
      <c r="W213" t="str">
        <f t="shared" si="14"/>
        <v/>
      </c>
      <c r="X213" t="str">
        <f t="shared" si="15"/>
        <v/>
      </c>
    </row>
    <row r="214" spans="1:24" x14ac:dyDescent="0.25">
      <c r="A214" t="s">
        <v>1206</v>
      </c>
      <c r="B214" t="s">
        <v>1207</v>
      </c>
      <c r="C214" t="s">
        <v>1208</v>
      </c>
      <c r="F214" t="s">
        <v>1209</v>
      </c>
      <c r="L214" t="s">
        <v>24</v>
      </c>
      <c r="M214" t="s">
        <v>25</v>
      </c>
      <c r="O214" t="s">
        <v>26</v>
      </c>
      <c r="P214" t="s">
        <v>1210</v>
      </c>
      <c r="Q214" t="s">
        <v>28</v>
      </c>
      <c r="R214" s="3">
        <v>42366.011481481481</v>
      </c>
      <c r="T214" t="s">
        <v>433</v>
      </c>
      <c r="U214" t="str">
        <f t="shared" si="12"/>
        <v>["2c54f4d6-5712-4e5a-a025-b7f7a396c39b"]</v>
      </c>
      <c r="V214" t="str">
        <f t="shared" si="13"/>
        <v/>
      </c>
      <c r="W214" t="str">
        <f t="shared" si="14"/>
        <v/>
      </c>
      <c r="X214" t="str">
        <f t="shared" si="15"/>
        <v/>
      </c>
    </row>
    <row r="215" spans="1:24" ht="240" x14ac:dyDescent="0.25">
      <c r="A215" t="s">
        <v>1211</v>
      </c>
      <c r="B215" t="s">
        <v>1212</v>
      </c>
      <c r="C215" t="s">
        <v>1213</v>
      </c>
      <c r="F215" s="2" t="s">
        <v>1214</v>
      </c>
      <c r="L215" t="s">
        <v>24</v>
      </c>
      <c r="M215" t="s">
        <v>25</v>
      </c>
      <c r="O215" t="s">
        <v>26</v>
      </c>
      <c r="P215" t="s">
        <v>1215</v>
      </c>
      <c r="Q215" t="s">
        <v>28</v>
      </c>
      <c r="R215" s="3">
        <v>42711.426504629628</v>
      </c>
      <c r="T215" t="s">
        <v>1216</v>
      </c>
      <c r="U215" t="str">
        <f t="shared" si="12"/>
        <v>["16c7fa5b-e2ac-4558-b76c-506766d3949d", "be2e0197-57b8-4fcf-a144-cb33f7466f3a"]</v>
      </c>
      <c r="V215" t="str">
        <f t="shared" si="13"/>
        <v/>
      </c>
      <c r="W215" t="str">
        <f t="shared" si="14"/>
        <v/>
      </c>
      <c r="X215" t="str">
        <f t="shared" si="15"/>
        <v/>
      </c>
    </row>
    <row r="216" spans="1:24" ht="409.5" x14ac:dyDescent="0.25">
      <c r="A216" t="s">
        <v>1217</v>
      </c>
      <c r="B216" t="s">
        <v>1218</v>
      </c>
      <c r="C216" t="s">
        <v>1219</v>
      </c>
      <c r="F216" s="2" t="s">
        <v>1220</v>
      </c>
      <c r="L216" t="s">
        <v>24</v>
      </c>
      <c r="M216" t="s">
        <v>25</v>
      </c>
      <c r="O216" t="s">
        <v>26</v>
      </c>
      <c r="P216" t="s">
        <v>1221</v>
      </c>
      <c r="Q216" t="s">
        <v>28</v>
      </c>
      <c r="R216" s="3">
        <v>42205.402951388889</v>
      </c>
      <c r="T216" t="s">
        <v>674</v>
      </c>
      <c r="U216" t="str">
        <f t="shared" si="12"/>
        <v>["522d3045-0b37-48d0-b868-57c99726b1c4"]</v>
      </c>
      <c r="V216" t="str">
        <f t="shared" si="13"/>
        <v/>
      </c>
      <c r="W216" t="str">
        <f t="shared" si="14"/>
        <v/>
      </c>
      <c r="X216" t="str">
        <f t="shared" si="15"/>
        <v/>
      </c>
    </row>
    <row r="217" spans="1:24" x14ac:dyDescent="0.25">
      <c r="A217" t="s">
        <v>1222</v>
      </c>
      <c r="B217" t="s">
        <v>1223</v>
      </c>
      <c r="C217" t="s">
        <v>1224</v>
      </c>
      <c r="F217" t="s">
        <v>1225</v>
      </c>
      <c r="L217" t="s">
        <v>24</v>
      </c>
      <c r="M217" t="s">
        <v>25</v>
      </c>
      <c r="O217" t="s">
        <v>26</v>
      </c>
      <c r="P217" t="s">
        <v>1226</v>
      </c>
      <c r="Q217" t="s">
        <v>28</v>
      </c>
      <c r="R217" s="3">
        <v>42166.472303240742</v>
      </c>
      <c r="T217" t="s">
        <v>1227</v>
      </c>
      <c r="U217" t="str">
        <f t="shared" si="12"/>
        <v>["e2e7100e-7094-48cf-9d6d-146a52c8dd8b"]</v>
      </c>
      <c r="V217" t="str">
        <f t="shared" si="13"/>
        <v/>
      </c>
      <c r="W217" t="str">
        <f t="shared" si="14"/>
        <v/>
      </c>
      <c r="X217" t="str">
        <f t="shared" si="15"/>
        <v/>
      </c>
    </row>
    <row r="218" spans="1:24" x14ac:dyDescent="0.25">
      <c r="A218" t="s">
        <v>1228</v>
      </c>
      <c r="B218" t="s">
        <v>1229</v>
      </c>
      <c r="C218" t="s">
        <v>1230</v>
      </c>
      <c r="F218" t="s">
        <v>1231</v>
      </c>
      <c r="L218" t="s">
        <v>24</v>
      </c>
      <c r="M218" t="s">
        <v>25</v>
      </c>
      <c r="O218" t="s">
        <v>26</v>
      </c>
      <c r="P218" t="s">
        <v>1232</v>
      </c>
      <c r="Q218" t="s">
        <v>28</v>
      </c>
      <c r="R218" s="3">
        <v>41929.378449074073</v>
      </c>
      <c r="T218" t="s">
        <v>1233</v>
      </c>
      <c r="U218" t="str">
        <f t="shared" si="12"/>
        <v>["96196887-5a20-4e93-a302-72f306f32c9d"]</v>
      </c>
      <c r="V218" t="str">
        <f t="shared" si="13"/>
        <v/>
      </c>
      <c r="W218" t="str">
        <f t="shared" si="14"/>
        <v/>
      </c>
      <c r="X218" t="str">
        <f t="shared" si="15"/>
        <v/>
      </c>
    </row>
    <row r="219" spans="1:24" x14ac:dyDescent="0.25">
      <c r="A219" t="s">
        <v>1234</v>
      </c>
      <c r="B219" t="s">
        <v>1235</v>
      </c>
      <c r="C219" t="s">
        <v>1236</v>
      </c>
      <c r="F219" t="s">
        <v>1237</v>
      </c>
      <c r="L219" t="s">
        <v>24</v>
      </c>
      <c r="M219" t="s">
        <v>25</v>
      </c>
      <c r="O219" t="s">
        <v>26</v>
      </c>
      <c r="P219" t="s">
        <v>1238</v>
      </c>
      <c r="Q219" t="s">
        <v>28</v>
      </c>
      <c r="R219" s="3">
        <v>42151.453506944446</v>
      </c>
      <c r="T219" t="s">
        <v>1239</v>
      </c>
      <c r="U219" t="str">
        <f t="shared" si="12"/>
        <v>["050f108b-8299-4d30-8ab0-10a0f289d725"]</v>
      </c>
      <c r="V219" t="str">
        <f t="shared" si="13"/>
        <v/>
      </c>
      <c r="W219" t="str">
        <f t="shared" si="14"/>
        <v/>
      </c>
      <c r="X219" t="str">
        <f t="shared" si="15"/>
        <v/>
      </c>
    </row>
    <row r="220" spans="1:24" x14ac:dyDescent="0.25">
      <c r="A220" t="s">
        <v>1240</v>
      </c>
      <c r="B220" t="s">
        <v>1241</v>
      </c>
      <c r="C220" t="s">
        <v>1242</v>
      </c>
      <c r="F220" t="s">
        <v>1243</v>
      </c>
      <c r="L220" t="s">
        <v>24</v>
      </c>
      <c r="M220" t="s">
        <v>25</v>
      </c>
      <c r="O220" t="s">
        <v>26</v>
      </c>
      <c r="P220" t="s">
        <v>1244</v>
      </c>
      <c r="Q220" t="s">
        <v>28</v>
      </c>
      <c r="R220" s="3">
        <v>42157.612881944442</v>
      </c>
      <c r="T220" t="s">
        <v>1245</v>
      </c>
      <c r="U220" t="str">
        <f t="shared" si="12"/>
        <v>["2c54f4d6-5712-4e5a-a025-b7f7a396c39b", "e2e7100e-7094-48cf-9d6d-146a52c8dd8b", "46a7a06a-f69b-405e-aac2-77f775449ad3", "d585e816-1a36-4c76-b2dc-6db487d22ca3"]</v>
      </c>
      <c r="V220" t="str">
        <f t="shared" si="13"/>
        <v/>
      </c>
      <c r="W220" t="str">
        <f t="shared" si="14"/>
        <v/>
      </c>
      <c r="X220" t="str">
        <f t="shared" si="15"/>
        <v/>
      </c>
    </row>
    <row r="221" spans="1:24" ht="409.5" x14ac:dyDescent="0.25">
      <c r="A221" t="s">
        <v>1246</v>
      </c>
      <c r="B221" t="s">
        <v>1247</v>
      </c>
      <c r="C221" t="s">
        <v>1248</v>
      </c>
      <c r="F221" s="2" t="s">
        <v>1249</v>
      </c>
      <c r="L221" t="s">
        <v>24</v>
      </c>
      <c r="M221" t="s">
        <v>25</v>
      </c>
      <c r="O221" t="s">
        <v>26</v>
      </c>
      <c r="P221" t="s">
        <v>1250</v>
      </c>
      <c r="Q221" t="s">
        <v>28</v>
      </c>
      <c r="R221" s="3">
        <v>42157.464733796296</v>
      </c>
      <c r="T221" t="s">
        <v>1251</v>
      </c>
      <c r="U221" t="str">
        <f t="shared" si="12"/>
        <v>["d705d383-a7aa-48ef-aa8a-d66ab25122f2"]</v>
      </c>
      <c r="V221" t="str">
        <f t="shared" si="13"/>
        <v/>
      </c>
      <c r="W221" t="str">
        <f t="shared" si="14"/>
        <v/>
      </c>
      <c r="X221" t="str">
        <f t="shared" si="15"/>
        <v/>
      </c>
    </row>
    <row r="222" spans="1:24" ht="409.5" x14ac:dyDescent="0.25">
      <c r="A222" t="s">
        <v>1252</v>
      </c>
      <c r="B222" t="s">
        <v>1253</v>
      </c>
      <c r="C222" t="s">
        <v>1254</v>
      </c>
      <c r="F222" s="2" t="s">
        <v>1255</v>
      </c>
      <c r="L222" t="s">
        <v>24</v>
      </c>
      <c r="M222" t="s">
        <v>25</v>
      </c>
      <c r="O222" t="s">
        <v>26</v>
      </c>
      <c r="P222" t="s">
        <v>1256</v>
      </c>
      <c r="Q222" t="s">
        <v>28</v>
      </c>
      <c r="R222" s="3">
        <v>42163.446886574071</v>
      </c>
      <c r="T222" t="s">
        <v>1257</v>
      </c>
      <c r="U222" t="str">
        <f t="shared" si="12"/>
        <v>["e2e7100e-7094-48cf-9d6d-146a52c8dd8b", "9a78b016-2cb4-4be3-aecd-60ff99b4f356"]</v>
      </c>
      <c r="V222" t="str">
        <f t="shared" si="13"/>
        <v/>
      </c>
      <c r="W222" t="str">
        <f t="shared" si="14"/>
        <v/>
      </c>
      <c r="X222" t="str">
        <f t="shared" si="15"/>
        <v/>
      </c>
    </row>
    <row r="223" spans="1:24" x14ac:dyDescent="0.25">
      <c r="A223" t="s">
        <v>1258</v>
      </c>
      <c r="B223" t="s">
        <v>1259</v>
      </c>
      <c r="C223" t="s">
        <v>1260</v>
      </c>
      <c r="F223" t="s">
        <v>1261</v>
      </c>
      <c r="L223" t="s">
        <v>24</v>
      </c>
      <c r="M223" t="s">
        <v>25</v>
      </c>
      <c r="O223" t="s">
        <v>26</v>
      </c>
      <c r="P223" t="s">
        <v>1262</v>
      </c>
      <c r="Q223" t="s">
        <v>28</v>
      </c>
      <c r="R223" s="3">
        <v>42195.474074074074</v>
      </c>
      <c r="T223" t="s">
        <v>1263</v>
      </c>
      <c r="U223" t="str">
        <f t="shared" si="12"/>
        <v>["09716341-2bea-4298-9525-e936d8247d19", "2b10a91b-51d5-4e34-b992-8fd3a3121f0d", "26f4d3e5-9ad6-456a-9045-34badb1f33cf"]</v>
      </c>
      <c r="V223" t="str">
        <f t="shared" si="13"/>
        <v/>
      </c>
      <c r="W223" t="str">
        <f t="shared" si="14"/>
        <v/>
      </c>
      <c r="X223" t="str">
        <f t="shared" si="15"/>
        <v/>
      </c>
    </row>
    <row r="224" spans="1:24" ht="409.5" x14ac:dyDescent="0.25">
      <c r="A224" t="s">
        <v>1264</v>
      </c>
      <c r="B224" t="s">
        <v>1265</v>
      </c>
      <c r="C224" t="s">
        <v>1266</v>
      </c>
      <c r="F224" s="2" t="s">
        <v>1267</v>
      </c>
      <c r="L224" t="s">
        <v>24</v>
      </c>
      <c r="M224" t="s">
        <v>25</v>
      </c>
      <c r="O224" t="s">
        <v>26</v>
      </c>
      <c r="P224" t="s">
        <v>1268</v>
      </c>
      <c r="Q224" t="s">
        <v>28</v>
      </c>
      <c r="R224" s="3">
        <v>42297.664398148147</v>
      </c>
      <c r="T224" t="s">
        <v>1269</v>
      </c>
      <c r="U224" t="str">
        <f t="shared" si="12"/>
        <v>["2c54f4d6-5712-4e5a-a025-b7f7a396c39b", "fc21780d-bbb0-4ec9-9cb2-8687fd28ebc2", "254757be-69ef-4a6c-a4c1-1432815d7522"]</v>
      </c>
      <c r="V224" t="str">
        <f t="shared" si="13"/>
        <v/>
      </c>
      <c r="W224" t="str">
        <f t="shared" si="14"/>
        <v/>
      </c>
      <c r="X224" t="str">
        <f t="shared" si="15"/>
        <v/>
      </c>
    </row>
    <row r="225" spans="1:24" ht="409.5" x14ac:dyDescent="0.25">
      <c r="A225" t="s">
        <v>1270</v>
      </c>
      <c r="B225" t="s">
        <v>1271</v>
      </c>
      <c r="C225" t="s">
        <v>1272</v>
      </c>
      <c r="F225" s="2" t="s">
        <v>1273</v>
      </c>
      <c r="L225" t="s">
        <v>24</v>
      </c>
      <c r="M225" t="s">
        <v>25</v>
      </c>
      <c r="O225" t="s">
        <v>26</v>
      </c>
      <c r="P225" t="s">
        <v>1274</v>
      </c>
      <c r="Q225" t="s">
        <v>28</v>
      </c>
      <c r="R225" s="3">
        <v>41892.481631944444</v>
      </c>
      <c r="T225" t="s">
        <v>1275</v>
      </c>
      <c r="U225" t="str">
        <f t="shared" si="12"/>
        <v>["522d3045-0b37-48d0-b868-57c99726b1c4", "9c203fec-dc0d-412c-a7a3-7fd77d0346f1", "c223b93a-2634-4f06-ac73-8709b9e16888"]</v>
      </c>
      <c r="V225" t="str">
        <f t="shared" si="13"/>
        <v/>
      </c>
      <c r="W225" t="str">
        <f t="shared" si="14"/>
        <v/>
      </c>
      <c r="X225" t="str">
        <f t="shared" si="15"/>
        <v/>
      </c>
    </row>
    <row r="226" spans="1:24" x14ac:dyDescent="0.25">
      <c r="A226" t="s">
        <v>1276</v>
      </c>
      <c r="B226" t="s">
        <v>1277</v>
      </c>
      <c r="C226" t="s">
        <v>1278</v>
      </c>
      <c r="F226" t="s">
        <v>1279</v>
      </c>
      <c r="L226" t="s">
        <v>24</v>
      </c>
      <c r="M226" t="s">
        <v>25</v>
      </c>
      <c r="O226" t="s">
        <v>26</v>
      </c>
      <c r="P226" t="s">
        <v>1280</v>
      </c>
      <c r="Q226" t="s">
        <v>28</v>
      </c>
      <c r="R226" s="3">
        <v>42242.444236111114</v>
      </c>
      <c r="T226" t="s">
        <v>1281</v>
      </c>
      <c r="U226" t="str">
        <f t="shared" si="12"/>
        <v>["3fefc838-791d-4dde-975b-a4131a54e7c5"]</v>
      </c>
      <c r="V226" t="str">
        <f t="shared" si="13"/>
        <v/>
      </c>
      <c r="W226" t="str">
        <f t="shared" si="14"/>
        <v/>
      </c>
      <c r="X226" t="str">
        <f t="shared" si="15"/>
        <v/>
      </c>
    </row>
    <row r="227" spans="1:24" ht="409.5" x14ac:dyDescent="0.25">
      <c r="A227" t="s">
        <v>1282</v>
      </c>
      <c r="B227" t="s">
        <v>1283</v>
      </c>
      <c r="C227" t="s">
        <v>1284</v>
      </c>
      <c r="F227" s="2" t="s">
        <v>1285</v>
      </c>
      <c r="L227" t="s">
        <v>24</v>
      </c>
      <c r="M227" t="s">
        <v>25</v>
      </c>
      <c r="O227" t="s">
        <v>26</v>
      </c>
      <c r="P227" t="s">
        <v>1286</v>
      </c>
      <c r="Q227" t="s">
        <v>28</v>
      </c>
      <c r="R227" s="3">
        <v>42486.398136574076</v>
      </c>
      <c r="T227" t="s">
        <v>1287</v>
      </c>
      <c r="U227" t="str">
        <f t="shared" si="12"/>
        <v>["13a9f9d7-f013-4b12-a990-387714039247"]</v>
      </c>
      <c r="V227" t="str">
        <f t="shared" si="13"/>
        <v/>
      </c>
      <c r="W227" t="str">
        <f t="shared" si="14"/>
        <v/>
      </c>
      <c r="X227" t="str">
        <f t="shared" si="15"/>
        <v/>
      </c>
    </row>
    <row r="228" spans="1:24" x14ac:dyDescent="0.25">
      <c r="A228" t="s">
        <v>1288</v>
      </c>
      <c r="B228" t="s">
        <v>1289</v>
      </c>
      <c r="C228" t="s">
        <v>1290</v>
      </c>
      <c r="F228" t="s">
        <v>1291</v>
      </c>
      <c r="L228" t="s">
        <v>24</v>
      </c>
      <c r="M228" t="s">
        <v>25</v>
      </c>
      <c r="O228" t="s">
        <v>26</v>
      </c>
      <c r="P228" t="s">
        <v>1292</v>
      </c>
      <c r="Q228" t="s">
        <v>28</v>
      </c>
      <c r="R228" s="3">
        <v>42195.365613425929</v>
      </c>
      <c r="T228" t="s">
        <v>1293</v>
      </c>
      <c r="U228" t="str">
        <f t="shared" si="12"/>
        <v>["354f9aa0-2f0a-4cdf-9b60-d023da93cc76", "be2e0197-57b8-4fcf-a144-cb33f7466f3a", "898afe8c-0297-45d6-b4b5-0cb9e632094b", "22add642-d849-48ff-9913-8c7ba2d99b46", "28a7419c-f432-4e1a-b0a6-aa9e71968a14", "523ba2e4-8c55-4dde-8acf-39e3621811b0", "7c6e9dbf-487b-4146-a379-19e46642c392", "cabad01a-8cc7-48c0-b7e8-ffbe1e685b26"]</v>
      </c>
      <c r="V228" t="str">
        <f t="shared" si="13"/>
        <v/>
      </c>
      <c r="W228" t="str">
        <f t="shared" si="14"/>
        <v/>
      </c>
      <c r="X228" t="str">
        <f t="shared" si="15"/>
        <v/>
      </c>
    </row>
    <row r="229" spans="1:24" ht="409.5" x14ac:dyDescent="0.25">
      <c r="A229" t="s">
        <v>1294</v>
      </c>
      <c r="B229" t="s">
        <v>1295</v>
      </c>
      <c r="C229" t="s">
        <v>1296</v>
      </c>
      <c r="F229" s="2" t="s">
        <v>1297</v>
      </c>
      <c r="L229" t="s">
        <v>24</v>
      </c>
      <c r="M229" t="s">
        <v>25</v>
      </c>
      <c r="O229" t="s">
        <v>26</v>
      </c>
      <c r="P229" t="s">
        <v>1298</v>
      </c>
      <c r="Q229" t="s">
        <v>28</v>
      </c>
      <c r="R229" s="3">
        <v>42334.366967592592</v>
      </c>
      <c r="T229" t="s">
        <v>1299</v>
      </c>
      <c r="U229" t="str">
        <f t="shared" si="12"/>
        <v>["87f121a7-eef0-4be9-9372-a5efe5b4d375"]</v>
      </c>
      <c r="V229" t="str">
        <f t="shared" si="13"/>
        <v/>
      </c>
      <c r="W229" t="str">
        <f t="shared" si="14"/>
        <v/>
      </c>
      <c r="X229" t="str">
        <f t="shared" si="15"/>
        <v/>
      </c>
    </row>
    <row r="230" spans="1:24" ht="409.5" x14ac:dyDescent="0.25">
      <c r="A230" t="s">
        <v>1300</v>
      </c>
      <c r="B230" t="s">
        <v>1301</v>
      </c>
      <c r="C230" t="s">
        <v>1302</v>
      </c>
      <c r="F230" s="2" t="s">
        <v>1303</v>
      </c>
      <c r="L230" t="s">
        <v>24</v>
      </c>
      <c r="M230" t="s">
        <v>25</v>
      </c>
      <c r="O230" t="s">
        <v>26</v>
      </c>
      <c r="P230" t="s">
        <v>1304</v>
      </c>
      <c r="Q230" t="s">
        <v>28</v>
      </c>
      <c r="R230" s="3">
        <v>42270.417256944442</v>
      </c>
      <c r="T230" t="s">
        <v>433</v>
      </c>
      <c r="U230" t="str">
        <f t="shared" si="12"/>
        <v>["2c54f4d6-5712-4e5a-a025-b7f7a396c39b"]</v>
      </c>
      <c r="V230" t="str">
        <f t="shared" si="13"/>
        <v/>
      </c>
      <c r="W230" t="str">
        <f t="shared" si="14"/>
        <v/>
      </c>
      <c r="X230" t="str">
        <f t="shared" si="15"/>
        <v/>
      </c>
    </row>
    <row r="231" spans="1:24" ht="409.5" x14ac:dyDescent="0.25">
      <c r="A231" t="s">
        <v>1305</v>
      </c>
      <c r="B231" t="s">
        <v>1306</v>
      </c>
      <c r="C231" t="s">
        <v>1307</v>
      </c>
      <c r="F231" s="2" t="s">
        <v>1308</v>
      </c>
      <c r="L231" t="s">
        <v>24</v>
      </c>
      <c r="M231" t="s">
        <v>25</v>
      </c>
      <c r="O231" t="s">
        <v>26</v>
      </c>
      <c r="P231" t="s">
        <v>1309</v>
      </c>
      <c r="Q231" t="s">
        <v>28</v>
      </c>
      <c r="R231" s="3">
        <v>42178.57608796296</v>
      </c>
      <c r="T231" t="s">
        <v>1310</v>
      </c>
      <c r="U231" t="str">
        <f t="shared" si="12"/>
        <v>["1039ed7e-97fb-435f-b6cc-f6a105ba5e09"]</v>
      </c>
      <c r="V231" t="str">
        <f t="shared" si="13"/>
        <v/>
      </c>
      <c r="W231" t="str">
        <f t="shared" si="14"/>
        <v/>
      </c>
      <c r="X231" t="str">
        <f t="shared" si="15"/>
        <v/>
      </c>
    </row>
    <row r="232" spans="1:24" x14ac:dyDescent="0.25">
      <c r="A232" t="s">
        <v>1311</v>
      </c>
      <c r="B232" t="s">
        <v>1312</v>
      </c>
      <c r="C232" t="s">
        <v>1313</v>
      </c>
      <c r="F232" t="s">
        <v>1314</v>
      </c>
      <c r="L232" t="s">
        <v>24</v>
      </c>
      <c r="M232" t="s">
        <v>25</v>
      </c>
      <c r="O232" t="s">
        <v>26</v>
      </c>
      <c r="P232" t="s">
        <v>1315</v>
      </c>
      <c r="Q232" t="s">
        <v>28</v>
      </c>
      <c r="R232" s="3">
        <v>42460.361030092594</v>
      </c>
      <c r="T232" t="s">
        <v>1316</v>
      </c>
      <c r="U232" t="str">
        <f t="shared" si="12"/>
        <v>["1039ed7e-97fb-435f-b6cc-f6a105ba5e09", "2d0e9a21-fa5f-441d-948a-fe97a453a827", "36a8b9e9-909e-4605-a7ba-686ee3e1b8bf"]</v>
      </c>
      <c r="V232" t="str">
        <f t="shared" si="13"/>
        <v/>
      </c>
      <c r="W232" t="str">
        <f t="shared" si="14"/>
        <v/>
      </c>
      <c r="X232" t="str">
        <f t="shared" si="15"/>
        <v/>
      </c>
    </row>
    <row r="233" spans="1:24" ht="409.5" x14ac:dyDescent="0.25">
      <c r="A233" t="s">
        <v>1317</v>
      </c>
      <c r="B233" t="s">
        <v>1318</v>
      </c>
      <c r="C233" t="s">
        <v>1319</v>
      </c>
      <c r="F233" s="2" t="s">
        <v>1320</v>
      </c>
      <c r="L233" t="s">
        <v>24</v>
      </c>
      <c r="M233" t="s">
        <v>25</v>
      </c>
      <c r="O233" t="s">
        <v>26</v>
      </c>
      <c r="P233" t="s">
        <v>1321</v>
      </c>
      <c r="Q233" t="s">
        <v>28</v>
      </c>
      <c r="R233" s="3">
        <v>41536.362604166665</v>
      </c>
      <c r="T233" t="s">
        <v>1322</v>
      </c>
      <c r="U233" t="str">
        <f t="shared" si="12"/>
        <v>["522d3045-0b37-48d0-b868-57c99726b1c4", "6858b208-62bc-424e-9d7b-c89b74d3d3e3", "aa8876c7-9711-4969-b428-34400f2d0dbe", "9c203fec-dc0d-412c-a7a3-7fd77d0346f1"]</v>
      </c>
      <c r="V233" t="str">
        <f t="shared" si="13"/>
        <v/>
      </c>
      <c r="W233" t="str">
        <f t="shared" si="14"/>
        <v/>
      </c>
      <c r="X233" t="str">
        <f t="shared" si="15"/>
        <v/>
      </c>
    </row>
    <row r="234" spans="1:24" ht="409.5" x14ac:dyDescent="0.25">
      <c r="A234" t="s">
        <v>1323</v>
      </c>
      <c r="B234" t="s">
        <v>1324</v>
      </c>
      <c r="C234" t="s">
        <v>1325</v>
      </c>
      <c r="F234" s="2" t="s">
        <v>1326</v>
      </c>
      <c r="L234" t="s">
        <v>24</v>
      </c>
      <c r="M234" t="s">
        <v>25</v>
      </c>
      <c r="O234" t="s">
        <v>26</v>
      </c>
      <c r="P234" t="s">
        <v>1327</v>
      </c>
      <c r="Q234" t="s">
        <v>28</v>
      </c>
      <c r="R234" s="3">
        <v>42269.442430555559</v>
      </c>
      <c r="T234" t="s">
        <v>1328</v>
      </c>
      <c r="U234" t="str">
        <f t="shared" si="12"/>
        <v>["2c54f4d6-5712-4e5a-a025-b7f7a396c39b", "fff27cd6-426c-479f-ae66-077ae6f1437d"]</v>
      </c>
      <c r="V234" t="str">
        <f t="shared" si="13"/>
        <v/>
      </c>
      <c r="W234" t="str">
        <f t="shared" si="14"/>
        <v/>
      </c>
      <c r="X234" t="str">
        <f t="shared" si="15"/>
        <v/>
      </c>
    </row>
    <row r="235" spans="1:24" x14ac:dyDescent="0.25">
      <c r="A235" t="s">
        <v>1329</v>
      </c>
      <c r="B235" t="s">
        <v>1330</v>
      </c>
      <c r="C235" t="s">
        <v>1331</v>
      </c>
      <c r="F235" t="s">
        <v>1332</v>
      </c>
      <c r="L235" t="s">
        <v>24</v>
      </c>
      <c r="M235" t="s">
        <v>25</v>
      </c>
      <c r="O235" t="s">
        <v>26</v>
      </c>
      <c r="P235" t="s">
        <v>1333</v>
      </c>
      <c r="Q235" t="s">
        <v>28</v>
      </c>
      <c r="R235" s="3">
        <v>42207.434907407405</v>
      </c>
      <c r="T235" t="s">
        <v>1334</v>
      </c>
      <c r="U235" t="str">
        <f t="shared" si="12"/>
        <v>["2a0cb127-ea73-4cbd-a73f-e7d69d6fba5d"]</v>
      </c>
      <c r="V235" t="str">
        <f t="shared" si="13"/>
        <v/>
      </c>
      <c r="W235" t="str">
        <f t="shared" si="14"/>
        <v/>
      </c>
      <c r="X235" t="str">
        <f t="shared" si="15"/>
        <v/>
      </c>
    </row>
    <row r="236" spans="1:24" x14ac:dyDescent="0.25">
      <c r="A236" t="s">
        <v>1335</v>
      </c>
      <c r="B236" t="s">
        <v>1336</v>
      </c>
      <c r="C236" t="s">
        <v>1337</v>
      </c>
      <c r="F236" t="s">
        <v>1338</v>
      </c>
      <c r="L236" t="s">
        <v>24</v>
      </c>
      <c r="M236" t="s">
        <v>25</v>
      </c>
      <c r="O236" t="s">
        <v>26</v>
      </c>
      <c r="P236" t="s">
        <v>1339</v>
      </c>
      <c r="Q236" t="s">
        <v>28</v>
      </c>
      <c r="R236" s="3">
        <v>42352.430162037039</v>
      </c>
      <c r="T236" t="s">
        <v>1340</v>
      </c>
      <c r="U236" t="str">
        <f t="shared" si="12"/>
        <v>["0fb9ae1a-92cb-4ab8-a589-470c16d4fe21"]</v>
      </c>
      <c r="V236" t="str">
        <f t="shared" si="13"/>
        <v/>
      </c>
      <c r="W236" t="str">
        <f t="shared" si="14"/>
        <v/>
      </c>
      <c r="X236" t="str">
        <f t="shared" si="15"/>
        <v/>
      </c>
    </row>
    <row r="237" spans="1:24" x14ac:dyDescent="0.25">
      <c r="A237" t="s">
        <v>1341</v>
      </c>
      <c r="B237" t="s">
        <v>1342</v>
      </c>
      <c r="C237" t="s">
        <v>1343</v>
      </c>
      <c r="F237" t="s">
        <v>1344</v>
      </c>
      <c r="L237" t="s">
        <v>24</v>
      </c>
      <c r="M237" t="s">
        <v>25</v>
      </c>
      <c r="O237" t="s">
        <v>26</v>
      </c>
      <c r="P237" t="s">
        <v>1345</v>
      </c>
      <c r="Q237" t="s">
        <v>28</v>
      </c>
      <c r="R237" s="3">
        <v>42366.029618055552</v>
      </c>
      <c r="T237" t="s">
        <v>433</v>
      </c>
      <c r="U237" t="str">
        <f t="shared" si="12"/>
        <v>["2c54f4d6-5712-4e5a-a025-b7f7a396c39b"]</v>
      </c>
      <c r="V237" t="str">
        <f t="shared" si="13"/>
        <v/>
      </c>
      <c r="W237" t="str">
        <f t="shared" si="14"/>
        <v/>
      </c>
      <c r="X237" t="str">
        <f t="shared" si="15"/>
        <v/>
      </c>
    </row>
    <row r="238" spans="1:24" x14ac:dyDescent="0.25">
      <c r="A238" t="s">
        <v>1346</v>
      </c>
      <c r="B238" t="s">
        <v>1347</v>
      </c>
      <c r="C238" t="s">
        <v>1348</v>
      </c>
      <c r="F238" t="s">
        <v>1349</v>
      </c>
      <c r="L238" t="s">
        <v>24</v>
      </c>
      <c r="M238" t="s">
        <v>25</v>
      </c>
      <c r="O238" t="s">
        <v>26</v>
      </c>
      <c r="P238" t="s">
        <v>1350</v>
      </c>
      <c r="Q238" t="s">
        <v>28</v>
      </c>
      <c r="R238" s="3">
        <v>42365.994166666664</v>
      </c>
      <c r="T238" t="s">
        <v>433</v>
      </c>
      <c r="U238" t="str">
        <f t="shared" si="12"/>
        <v>["2c54f4d6-5712-4e5a-a025-b7f7a396c39b"]</v>
      </c>
      <c r="V238" t="str">
        <f t="shared" si="13"/>
        <v/>
      </c>
      <c r="W238" t="str">
        <f t="shared" si="14"/>
        <v/>
      </c>
      <c r="X238" t="str">
        <f t="shared" si="15"/>
        <v/>
      </c>
    </row>
    <row r="239" spans="1:24" x14ac:dyDescent="0.25">
      <c r="A239" t="s">
        <v>1351</v>
      </c>
      <c r="B239" t="s">
        <v>1352</v>
      </c>
      <c r="C239" t="s">
        <v>1353</v>
      </c>
      <c r="F239" t="s">
        <v>1354</v>
      </c>
      <c r="L239" t="s">
        <v>24</v>
      </c>
      <c r="M239" t="s">
        <v>25</v>
      </c>
      <c r="O239" t="s">
        <v>26</v>
      </c>
      <c r="P239" t="s">
        <v>1355</v>
      </c>
      <c r="Q239" t="s">
        <v>28</v>
      </c>
      <c r="R239" s="3">
        <v>42394.459467592591</v>
      </c>
      <c r="T239" t="s">
        <v>1281</v>
      </c>
      <c r="U239" t="str">
        <f t="shared" si="12"/>
        <v>["3fefc838-791d-4dde-975b-a4131a54e7c5"]</v>
      </c>
      <c r="V239" t="str">
        <f t="shared" si="13"/>
        <v/>
      </c>
      <c r="W239" t="str">
        <f t="shared" si="14"/>
        <v/>
      </c>
      <c r="X239" t="str">
        <f t="shared" si="15"/>
        <v/>
      </c>
    </row>
    <row r="240" spans="1:24" ht="405" x14ac:dyDescent="0.25">
      <c r="A240" t="s">
        <v>1356</v>
      </c>
      <c r="B240" t="s">
        <v>1357</v>
      </c>
      <c r="C240" t="s">
        <v>1358</v>
      </c>
      <c r="F240" s="2" t="s">
        <v>1359</v>
      </c>
      <c r="L240" t="s">
        <v>24</v>
      </c>
      <c r="M240" t="s">
        <v>25</v>
      </c>
      <c r="O240" t="s">
        <v>26</v>
      </c>
      <c r="P240" t="s">
        <v>1360</v>
      </c>
      <c r="Q240" t="s">
        <v>28</v>
      </c>
      <c r="R240" s="3">
        <v>42425.491469907407</v>
      </c>
      <c r="T240" t="s">
        <v>674</v>
      </c>
      <c r="U240" t="str">
        <f t="shared" si="12"/>
        <v>["522d3045-0b37-48d0-b868-57c99726b1c4"]</v>
      </c>
      <c r="V240" t="str">
        <f t="shared" si="13"/>
        <v/>
      </c>
      <c r="W240" t="str">
        <f t="shared" si="14"/>
        <v/>
      </c>
      <c r="X240" t="str">
        <f t="shared" si="15"/>
        <v/>
      </c>
    </row>
    <row r="241" spans="1:24" x14ac:dyDescent="0.25">
      <c r="A241" t="s">
        <v>1361</v>
      </c>
      <c r="B241" t="s">
        <v>1362</v>
      </c>
      <c r="C241" t="s">
        <v>1363</v>
      </c>
      <c r="F241" t="s">
        <v>1364</v>
      </c>
      <c r="L241" t="s">
        <v>24</v>
      </c>
      <c r="M241" t="s">
        <v>25</v>
      </c>
      <c r="O241" t="s">
        <v>26</v>
      </c>
      <c r="P241" t="s">
        <v>1365</v>
      </c>
      <c r="Q241" t="s">
        <v>28</v>
      </c>
      <c r="R241" s="3">
        <v>42642.361250000002</v>
      </c>
      <c r="T241" t="s">
        <v>1366</v>
      </c>
      <c r="U241" t="str">
        <f t="shared" si="12"/>
        <v>["8ffd16df-e7b8-423b-8348-199e6a5bf0ca"]</v>
      </c>
      <c r="V241" t="str">
        <f t="shared" si="13"/>
        <v/>
      </c>
      <c r="W241" t="str">
        <f t="shared" si="14"/>
        <v/>
      </c>
      <c r="X241" t="str">
        <f t="shared" si="15"/>
        <v/>
      </c>
    </row>
    <row r="242" spans="1:24" x14ac:dyDescent="0.25">
      <c r="A242" t="s">
        <v>1367</v>
      </c>
      <c r="B242" t="s">
        <v>1368</v>
      </c>
      <c r="C242" t="s">
        <v>621</v>
      </c>
      <c r="F242" t="s">
        <v>1369</v>
      </c>
      <c r="L242" t="s">
        <v>24</v>
      </c>
      <c r="M242" t="s">
        <v>25</v>
      </c>
      <c r="O242" t="s">
        <v>26</v>
      </c>
      <c r="P242" t="s">
        <v>1370</v>
      </c>
      <c r="Q242" t="s">
        <v>28</v>
      </c>
      <c r="R242" s="3">
        <v>42289.403912037036</v>
      </c>
      <c r="T242" t="s">
        <v>674</v>
      </c>
      <c r="U242" t="str">
        <f t="shared" si="12"/>
        <v>["522d3045-0b37-48d0-b868-57c99726b1c4"]</v>
      </c>
      <c r="V242" t="str">
        <f t="shared" si="13"/>
        <v/>
      </c>
      <c r="W242" t="str">
        <f t="shared" si="14"/>
        <v/>
      </c>
      <c r="X242" t="str">
        <f t="shared" si="15"/>
        <v/>
      </c>
    </row>
    <row r="243" spans="1:24" x14ac:dyDescent="0.25">
      <c r="A243" t="s">
        <v>1371</v>
      </c>
      <c r="B243" t="s">
        <v>1372</v>
      </c>
      <c r="C243" t="s">
        <v>1373</v>
      </c>
      <c r="F243" t="s">
        <v>1374</v>
      </c>
      <c r="L243" t="s">
        <v>24</v>
      </c>
      <c r="M243" t="s">
        <v>25</v>
      </c>
      <c r="O243" t="s">
        <v>26</v>
      </c>
      <c r="P243" t="s">
        <v>1375</v>
      </c>
      <c r="Q243" t="s">
        <v>28</v>
      </c>
      <c r="R243" s="3">
        <v>42397.454050925924</v>
      </c>
      <c r="T243" t="s">
        <v>1376</v>
      </c>
      <c r="U243" t="str">
        <f t="shared" si="12"/>
        <v>["2c54f4d6-5712-4e5a-a025-b7f7a396c39b", "254757be-69ef-4a6c-a4c1-1432815d7522"]</v>
      </c>
      <c r="V243" t="str">
        <f t="shared" si="13"/>
        <v/>
      </c>
      <c r="W243" t="str">
        <f t="shared" si="14"/>
        <v/>
      </c>
      <c r="X243" t="str">
        <f t="shared" si="15"/>
        <v/>
      </c>
    </row>
    <row r="244" spans="1:24" ht="409.5" x14ac:dyDescent="0.25">
      <c r="A244" t="s">
        <v>1377</v>
      </c>
      <c r="B244" t="s">
        <v>1378</v>
      </c>
      <c r="C244" t="s">
        <v>1379</v>
      </c>
      <c r="F244" s="2" t="s">
        <v>1380</v>
      </c>
      <c r="L244" t="s">
        <v>24</v>
      </c>
      <c r="M244" t="s">
        <v>25</v>
      </c>
      <c r="O244" t="s">
        <v>26</v>
      </c>
      <c r="P244" t="s">
        <v>1381</v>
      </c>
      <c r="Q244" t="s">
        <v>28</v>
      </c>
      <c r="R244" s="3">
        <v>42389.492060185185</v>
      </c>
      <c r="T244" t="s">
        <v>768</v>
      </c>
      <c r="U244" t="str">
        <f t="shared" si="12"/>
        <v>["2f5baa1f-208c-42c2-8d04-9ea74aa1b229"]</v>
      </c>
      <c r="V244" t="str">
        <f t="shared" si="13"/>
        <v/>
      </c>
      <c r="W244" t="str">
        <f t="shared" si="14"/>
        <v/>
      </c>
      <c r="X244" t="str">
        <f t="shared" si="15"/>
        <v/>
      </c>
    </row>
    <row r="245" spans="1:24" x14ac:dyDescent="0.25">
      <c r="A245" t="s">
        <v>1382</v>
      </c>
      <c r="B245" t="s">
        <v>1383</v>
      </c>
      <c r="C245" t="s">
        <v>1384</v>
      </c>
      <c r="F245" t="s">
        <v>1385</v>
      </c>
      <c r="L245" t="s">
        <v>24</v>
      </c>
      <c r="M245" t="s">
        <v>25</v>
      </c>
      <c r="O245" t="s">
        <v>26</v>
      </c>
      <c r="P245" t="s">
        <v>1386</v>
      </c>
      <c r="Q245" t="s">
        <v>28</v>
      </c>
      <c r="R245" s="3">
        <v>42587.315104166664</v>
      </c>
      <c r="T245" t="s">
        <v>1387</v>
      </c>
      <c r="U245" t="str">
        <f t="shared" si="12"/>
        <v>["522d3045-0b37-48d0-b868-57c99726b1c4", "36a8b9e9-909e-4605-a7ba-686ee3e1b8bf", "79c1030d-5cf6-4d58-ade6-02f66fb4dffb"]</v>
      </c>
      <c r="V245" t="str">
        <f t="shared" si="13"/>
        <v/>
      </c>
      <c r="W245" t="str">
        <f t="shared" si="14"/>
        <v/>
      </c>
      <c r="X245" t="str">
        <f t="shared" si="15"/>
        <v/>
      </c>
    </row>
    <row r="246" spans="1:24" x14ac:dyDescent="0.25">
      <c r="A246" t="s">
        <v>1388</v>
      </c>
      <c r="B246" t="s">
        <v>1389</v>
      </c>
      <c r="C246" t="s">
        <v>1390</v>
      </c>
      <c r="F246" t="s">
        <v>1391</v>
      </c>
      <c r="L246" t="s">
        <v>24</v>
      </c>
      <c r="M246" t="s">
        <v>25</v>
      </c>
      <c r="O246" t="s">
        <v>26</v>
      </c>
      <c r="P246" t="s">
        <v>1392</v>
      </c>
      <c r="Q246" t="s">
        <v>28</v>
      </c>
      <c r="R246" s="3">
        <v>42297.627372685187</v>
      </c>
      <c r="T246" t="s">
        <v>674</v>
      </c>
      <c r="U246" t="str">
        <f t="shared" si="12"/>
        <v>["522d3045-0b37-48d0-b868-57c99726b1c4"]</v>
      </c>
      <c r="V246" t="str">
        <f t="shared" si="13"/>
        <v/>
      </c>
      <c r="W246" t="str">
        <f t="shared" si="14"/>
        <v/>
      </c>
      <c r="X246" t="str">
        <f t="shared" si="15"/>
        <v/>
      </c>
    </row>
    <row r="247" spans="1:24" x14ac:dyDescent="0.25">
      <c r="A247" t="s">
        <v>1393</v>
      </c>
      <c r="B247" t="s">
        <v>1394</v>
      </c>
      <c r="C247" t="s">
        <v>1395</v>
      </c>
      <c r="F247" t="s">
        <v>1396</v>
      </c>
      <c r="L247" t="s">
        <v>24</v>
      </c>
      <c r="M247" t="s">
        <v>25</v>
      </c>
      <c r="O247" t="s">
        <v>26</v>
      </c>
      <c r="P247" t="s">
        <v>1397</v>
      </c>
      <c r="Q247" t="s">
        <v>28</v>
      </c>
      <c r="R247" s="3">
        <v>42682.605416666665</v>
      </c>
      <c r="T247" t="s">
        <v>1398</v>
      </c>
      <c r="U247" t="str">
        <f t="shared" si="12"/>
        <v>["6858b208-62bc-424e-9d7b-c89b74d3d3e3", "8ffd16df-e7b8-423b-8348-199e6a5bf0ca"]</v>
      </c>
      <c r="V247" t="str">
        <f t="shared" si="13"/>
        <v/>
      </c>
      <c r="W247" t="str">
        <f t="shared" si="14"/>
        <v/>
      </c>
      <c r="X247" t="str">
        <f t="shared" si="15"/>
        <v/>
      </c>
    </row>
    <row r="248" spans="1:24" x14ac:dyDescent="0.25">
      <c r="A248" t="s">
        <v>1399</v>
      </c>
      <c r="B248" t="s">
        <v>1400</v>
      </c>
      <c r="C248" t="s">
        <v>1401</v>
      </c>
      <c r="F248" t="s">
        <v>1402</v>
      </c>
      <c r="L248" t="s">
        <v>24</v>
      </c>
      <c r="M248" t="s">
        <v>25</v>
      </c>
      <c r="O248" t="s">
        <v>26</v>
      </c>
      <c r="P248" t="s">
        <v>1403</v>
      </c>
      <c r="Q248" t="s">
        <v>28</v>
      </c>
      <c r="R248" s="3">
        <v>42228.346273148149</v>
      </c>
      <c r="T248" t="s">
        <v>1404</v>
      </c>
      <c r="U248" t="str">
        <f t="shared" si="12"/>
        <v>["d88a1246-9684-480b-a480-ff63286b35b7"]</v>
      </c>
      <c r="V248" t="str">
        <f t="shared" si="13"/>
        <v/>
      </c>
      <c r="W248" t="str">
        <f t="shared" si="14"/>
        <v/>
      </c>
      <c r="X248" t="str">
        <f t="shared" si="15"/>
        <v/>
      </c>
    </row>
    <row r="249" spans="1:24" x14ac:dyDescent="0.25">
      <c r="A249" t="s">
        <v>1405</v>
      </c>
      <c r="B249" t="s">
        <v>1406</v>
      </c>
      <c r="C249" t="s">
        <v>1406</v>
      </c>
      <c r="F249" t="s">
        <v>1407</v>
      </c>
      <c r="L249" t="s">
        <v>24</v>
      </c>
      <c r="M249" t="s">
        <v>25</v>
      </c>
      <c r="O249" t="s">
        <v>26</v>
      </c>
      <c r="P249" t="s">
        <v>1408</v>
      </c>
      <c r="Q249" t="s">
        <v>28</v>
      </c>
      <c r="R249" s="3">
        <v>42366.005844907406</v>
      </c>
      <c r="T249" t="s">
        <v>433</v>
      </c>
      <c r="U249" t="str">
        <f t="shared" si="12"/>
        <v>["2c54f4d6-5712-4e5a-a025-b7f7a396c39b"]</v>
      </c>
      <c r="V249" t="str">
        <f t="shared" si="13"/>
        <v/>
      </c>
      <c r="W249" t="str">
        <f t="shared" si="14"/>
        <v/>
      </c>
      <c r="X249" t="str">
        <f t="shared" si="15"/>
        <v/>
      </c>
    </row>
    <row r="250" spans="1:24" x14ac:dyDescent="0.25">
      <c r="A250" t="s">
        <v>1409</v>
      </c>
      <c r="B250" t="s">
        <v>1410</v>
      </c>
      <c r="C250" t="s">
        <v>1411</v>
      </c>
      <c r="F250" t="s">
        <v>1412</v>
      </c>
      <c r="L250" t="s">
        <v>24</v>
      </c>
      <c r="M250" t="s">
        <v>25</v>
      </c>
      <c r="O250" t="s">
        <v>26</v>
      </c>
      <c r="P250" t="s">
        <v>1413</v>
      </c>
      <c r="Q250" t="s">
        <v>28</v>
      </c>
      <c r="R250" s="3">
        <v>42542.584722222222</v>
      </c>
      <c r="T250" t="s">
        <v>29</v>
      </c>
      <c r="U250" t="str">
        <f t="shared" si="12"/>
        <v>[]</v>
      </c>
      <c r="V250" t="str">
        <f t="shared" si="13"/>
        <v/>
      </c>
      <c r="W250" t="str">
        <f t="shared" si="14"/>
        <v/>
      </c>
      <c r="X250" t="str">
        <f t="shared" si="15"/>
        <v/>
      </c>
    </row>
    <row r="251" spans="1:24" x14ac:dyDescent="0.25">
      <c r="A251" t="s">
        <v>1414</v>
      </c>
      <c r="B251" t="s">
        <v>1415</v>
      </c>
      <c r="C251" t="s">
        <v>1416</v>
      </c>
      <c r="F251" t="s">
        <v>1417</v>
      </c>
      <c r="L251" t="s">
        <v>24</v>
      </c>
      <c r="M251" t="s">
        <v>25</v>
      </c>
      <c r="O251" t="s">
        <v>26</v>
      </c>
      <c r="P251" t="s">
        <v>1418</v>
      </c>
      <c r="Q251" t="s">
        <v>28</v>
      </c>
      <c r="R251" s="3">
        <v>42366.001261574071</v>
      </c>
      <c r="T251" t="s">
        <v>433</v>
      </c>
      <c r="U251" t="str">
        <f t="shared" si="12"/>
        <v>["2c54f4d6-5712-4e5a-a025-b7f7a396c39b"]</v>
      </c>
      <c r="V251" t="str">
        <f t="shared" si="13"/>
        <v/>
      </c>
      <c r="W251" t="str">
        <f t="shared" si="14"/>
        <v/>
      </c>
      <c r="X251" t="str">
        <f t="shared" si="15"/>
        <v/>
      </c>
    </row>
    <row r="252" spans="1:24" ht="409.5" x14ac:dyDescent="0.25">
      <c r="A252" t="s">
        <v>1419</v>
      </c>
      <c r="B252" t="s">
        <v>1420</v>
      </c>
      <c r="C252" t="s">
        <v>1421</v>
      </c>
      <c r="F252" s="2" t="s">
        <v>1422</v>
      </c>
      <c r="L252" t="s">
        <v>24</v>
      </c>
      <c r="M252" t="s">
        <v>25</v>
      </c>
      <c r="O252" t="s">
        <v>26</v>
      </c>
      <c r="P252" t="s">
        <v>1423</v>
      </c>
      <c r="Q252" t="s">
        <v>28</v>
      </c>
      <c r="R252" s="3">
        <v>42327.392893518518</v>
      </c>
      <c r="T252" t="s">
        <v>433</v>
      </c>
      <c r="U252" t="str">
        <f t="shared" si="12"/>
        <v>["2c54f4d6-5712-4e5a-a025-b7f7a396c39b"]</v>
      </c>
      <c r="V252" t="str">
        <f t="shared" si="13"/>
        <v/>
      </c>
      <c r="W252" t="str">
        <f t="shared" si="14"/>
        <v/>
      </c>
      <c r="X252" t="str">
        <f t="shared" si="15"/>
        <v/>
      </c>
    </row>
    <row r="253" spans="1:24" x14ac:dyDescent="0.25">
      <c r="A253" t="s">
        <v>1424</v>
      </c>
      <c r="B253" t="s">
        <v>1425</v>
      </c>
      <c r="C253" t="s">
        <v>1426</v>
      </c>
      <c r="F253" t="s">
        <v>1427</v>
      </c>
      <c r="L253" t="s">
        <v>24</v>
      </c>
      <c r="M253" t="s">
        <v>25</v>
      </c>
      <c r="O253" t="s">
        <v>26</v>
      </c>
      <c r="P253" t="s">
        <v>1428</v>
      </c>
      <c r="Q253" t="s">
        <v>28</v>
      </c>
      <c r="R253" s="3">
        <v>42327.415798611109</v>
      </c>
      <c r="T253" t="s">
        <v>1376</v>
      </c>
      <c r="U253" t="str">
        <f t="shared" si="12"/>
        <v>["2c54f4d6-5712-4e5a-a025-b7f7a396c39b", "254757be-69ef-4a6c-a4c1-1432815d7522"]</v>
      </c>
      <c r="V253" t="str">
        <f t="shared" si="13"/>
        <v/>
      </c>
      <c r="W253" t="str">
        <f t="shared" si="14"/>
        <v/>
      </c>
      <c r="X253" t="str">
        <f t="shared" si="15"/>
        <v/>
      </c>
    </row>
    <row r="254" spans="1:24" ht="255" x14ac:dyDescent="0.25">
      <c r="A254" s="4" t="s">
        <v>1429</v>
      </c>
      <c r="B254" t="s">
        <v>1430</v>
      </c>
      <c r="C254" t="s">
        <v>1431</v>
      </c>
      <c r="F254" s="2" t="s">
        <v>1432</v>
      </c>
      <c r="L254" t="s">
        <v>24</v>
      </c>
      <c r="M254" t="s">
        <v>25</v>
      </c>
      <c r="O254" t="s">
        <v>26</v>
      </c>
      <c r="P254" t="s">
        <v>1433</v>
      </c>
      <c r="Q254" t="s">
        <v>28</v>
      </c>
      <c r="R254" s="3">
        <v>42649.432962962965</v>
      </c>
      <c r="T254" t="s">
        <v>1150</v>
      </c>
      <c r="U254" t="str">
        <f t="shared" si="12"/>
        <v>["1f4a62eb-6f1a-4bfe-b7cd-e6dede0be00a"]</v>
      </c>
      <c r="V254" t="str">
        <f t="shared" si="13"/>
        <v/>
      </c>
      <c r="W254" t="str">
        <f t="shared" si="14"/>
        <v/>
      </c>
      <c r="X254" t="str">
        <f t="shared" si="15"/>
        <v/>
      </c>
    </row>
    <row r="255" spans="1:24" x14ac:dyDescent="0.25">
      <c r="A255" t="s">
        <v>1434</v>
      </c>
      <c r="B255" t="s">
        <v>1435</v>
      </c>
      <c r="C255" t="s">
        <v>1436</v>
      </c>
      <c r="F255" t="s">
        <v>1437</v>
      </c>
      <c r="L255" t="s">
        <v>24</v>
      </c>
      <c r="M255" t="s">
        <v>25</v>
      </c>
      <c r="O255" t="s">
        <v>26</v>
      </c>
      <c r="P255" t="s">
        <v>1438</v>
      </c>
      <c r="Q255" t="s">
        <v>28</v>
      </c>
      <c r="R255" s="3">
        <v>42366.015949074077</v>
      </c>
      <c r="T255" t="s">
        <v>433</v>
      </c>
      <c r="U255" t="str">
        <f t="shared" si="12"/>
        <v>["2c54f4d6-5712-4e5a-a025-b7f7a396c39b"]</v>
      </c>
      <c r="V255" t="str">
        <f t="shared" si="13"/>
        <v/>
      </c>
      <c r="W255" t="str">
        <f t="shared" si="14"/>
        <v/>
      </c>
      <c r="X255" t="str">
        <f t="shared" si="15"/>
        <v/>
      </c>
    </row>
    <row r="256" spans="1:24" x14ac:dyDescent="0.25">
      <c r="A256" t="s">
        <v>1439</v>
      </c>
      <c r="B256" t="s">
        <v>1440</v>
      </c>
      <c r="C256" t="s">
        <v>1441</v>
      </c>
      <c r="F256" t="s">
        <v>1442</v>
      </c>
      <c r="L256" t="s">
        <v>24</v>
      </c>
      <c r="M256" t="s">
        <v>25</v>
      </c>
      <c r="O256" t="s">
        <v>26</v>
      </c>
      <c r="P256" t="s">
        <v>1443</v>
      </c>
      <c r="Q256" t="s">
        <v>28</v>
      </c>
      <c r="R256" s="3">
        <v>42222.448078703703</v>
      </c>
      <c r="T256" t="s">
        <v>1444</v>
      </c>
      <c r="U256" t="str">
        <f t="shared" si="12"/>
        <v>["2ed52078-7e55-40ea-8036-0d89118a06f4", "8d482810-26da-4bbc-8599-6b1fd1ab8743", "98908792-f315-4834-9b5e-20fed66cbe5a", "28a7419c-f432-4e1a-b0a6-aa9e71968a14", "be2e0197-57b8-4fcf-a144-cb33f7466f3a", "146384fc-3f64-4482-a78a-2f082411a27d", "c6fc4688-1aca-4363-bd1a-8d14ea08d2f8", "523ba2e4-8c55-4dde-8acf-39e3621811b0", "bd8b518b-d812-46f9-b367-4c1b660cfc99"]</v>
      </c>
      <c r="V256" t="str">
        <f t="shared" si="13"/>
        <v/>
      </c>
      <c r="W256" t="str">
        <f t="shared" si="14"/>
        <v/>
      </c>
      <c r="X256" t="str">
        <f t="shared" si="15"/>
        <v/>
      </c>
    </row>
    <row r="257" spans="1:24" x14ac:dyDescent="0.25">
      <c r="A257" t="s">
        <v>1445</v>
      </c>
      <c r="B257" t="s">
        <v>1446</v>
      </c>
      <c r="C257" t="s">
        <v>1447</v>
      </c>
      <c r="F257" t="s">
        <v>1448</v>
      </c>
      <c r="L257" t="s">
        <v>24</v>
      </c>
      <c r="M257" t="s">
        <v>25</v>
      </c>
      <c r="O257" t="s">
        <v>26</v>
      </c>
      <c r="P257" t="s">
        <v>1449</v>
      </c>
      <c r="Q257" t="s">
        <v>28</v>
      </c>
      <c r="R257" s="3">
        <v>42366.037280092591</v>
      </c>
      <c r="T257" t="s">
        <v>433</v>
      </c>
      <c r="U257" t="str">
        <f t="shared" si="12"/>
        <v>["2c54f4d6-5712-4e5a-a025-b7f7a396c39b"]</v>
      </c>
      <c r="V257" t="str">
        <f t="shared" si="13"/>
        <v/>
      </c>
      <c r="W257" t="str">
        <f t="shared" si="14"/>
        <v/>
      </c>
      <c r="X257" t="str">
        <f t="shared" si="15"/>
        <v/>
      </c>
    </row>
    <row r="258" spans="1:24" x14ac:dyDescent="0.25">
      <c r="A258" t="s">
        <v>1450</v>
      </c>
      <c r="B258" t="s">
        <v>1451</v>
      </c>
      <c r="C258" t="s">
        <v>1452</v>
      </c>
      <c r="F258" t="s">
        <v>1453</v>
      </c>
      <c r="L258" t="s">
        <v>24</v>
      </c>
      <c r="M258" t="s">
        <v>25</v>
      </c>
      <c r="O258" t="s">
        <v>26</v>
      </c>
      <c r="P258" t="s">
        <v>1454</v>
      </c>
      <c r="Q258" t="s">
        <v>28</v>
      </c>
      <c r="R258" s="3">
        <v>42536.380486111113</v>
      </c>
      <c r="T258" t="s">
        <v>1455</v>
      </c>
      <c r="U258" t="str">
        <f t="shared" si="12"/>
        <v>["3fefc838-791d-4dde-975b-a4131a54e7c5", "298e6b5a-21a8-4d56-9484-1bac58c94a26"]</v>
      </c>
      <c r="V258" t="str">
        <f t="shared" si="13"/>
        <v/>
      </c>
      <c r="W258" t="str">
        <f t="shared" si="14"/>
        <v/>
      </c>
      <c r="X258" t="str">
        <f t="shared" si="15"/>
        <v/>
      </c>
    </row>
    <row r="259" spans="1:24" x14ac:dyDescent="0.25">
      <c r="A259" t="s">
        <v>1456</v>
      </c>
      <c r="B259" t="s">
        <v>1457</v>
      </c>
      <c r="C259" t="s">
        <v>1458</v>
      </c>
      <c r="F259" t="s">
        <v>1459</v>
      </c>
      <c r="L259" t="s">
        <v>24</v>
      </c>
      <c r="M259" t="s">
        <v>25</v>
      </c>
      <c r="O259" t="s">
        <v>26</v>
      </c>
      <c r="P259" t="s">
        <v>1460</v>
      </c>
      <c r="Q259" t="s">
        <v>28</v>
      </c>
      <c r="R259" s="3">
        <v>42297.707430555558</v>
      </c>
      <c r="T259" t="s">
        <v>1461</v>
      </c>
      <c r="U259" t="str">
        <f t="shared" ref="U259:U322" si="16">LEFT(T259, 1024)</f>
        <v>["79c1030d-5cf6-4d58-ade6-02f66fb4dffb", "fff27cd6-426c-479f-ae66-077ae6f1437d", "afceffe9-6f2e-48a4-8d8d-a9b83c5a69f3", "0cae36bb-6424-406f-8ed9-27b1d5bced57", "54171a40-1cfd-11e2-892e-0800200c9a66", "5777dc31-1f38-4f9b-9c97-7398c12a55bf"]</v>
      </c>
      <c r="V259" t="str">
        <f t="shared" ref="V259:V322" si="17">MID(T259, 1025, 1024)</f>
        <v/>
      </c>
      <c r="W259" t="str">
        <f t="shared" ref="W259:W322" si="18">MID(T259, 2049, 1024)</f>
        <v/>
      </c>
      <c r="X259" t="str">
        <f t="shared" ref="X259:X322" si="19">MID(T259, 3073, 1024)</f>
        <v/>
      </c>
    </row>
    <row r="260" spans="1:24" x14ac:dyDescent="0.25">
      <c r="A260" t="s">
        <v>1462</v>
      </c>
      <c r="B260" t="s">
        <v>1463</v>
      </c>
      <c r="C260" t="s">
        <v>1464</v>
      </c>
      <c r="F260" t="s">
        <v>1465</v>
      </c>
      <c r="L260" t="s">
        <v>24</v>
      </c>
      <c r="M260" t="s">
        <v>25</v>
      </c>
      <c r="O260" t="s">
        <v>26</v>
      </c>
      <c r="P260" t="s">
        <v>1466</v>
      </c>
      <c r="Q260" t="s">
        <v>28</v>
      </c>
      <c r="R260" s="3">
        <v>42425.485150462962</v>
      </c>
      <c r="T260" t="s">
        <v>674</v>
      </c>
      <c r="U260" t="str">
        <f t="shared" si="16"/>
        <v>["522d3045-0b37-48d0-b868-57c99726b1c4"]</v>
      </c>
      <c r="V260" t="str">
        <f t="shared" si="17"/>
        <v/>
      </c>
      <c r="W260" t="str">
        <f t="shared" si="18"/>
        <v/>
      </c>
      <c r="X260" t="str">
        <f t="shared" si="19"/>
        <v/>
      </c>
    </row>
    <row r="261" spans="1:24" x14ac:dyDescent="0.25">
      <c r="A261" t="s">
        <v>1467</v>
      </c>
      <c r="B261" t="s">
        <v>1468</v>
      </c>
      <c r="C261" t="s">
        <v>1469</v>
      </c>
      <c r="F261" t="s">
        <v>1470</v>
      </c>
      <c r="L261" t="s">
        <v>24</v>
      </c>
      <c r="M261" t="s">
        <v>25</v>
      </c>
      <c r="O261" t="s">
        <v>26</v>
      </c>
      <c r="P261" t="s">
        <v>1471</v>
      </c>
      <c r="Q261" t="s">
        <v>28</v>
      </c>
      <c r="R261" s="3">
        <v>42365.954872685186</v>
      </c>
      <c r="T261" t="s">
        <v>433</v>
      </c>
      <c r="U261" t="str">
        <f t="shared" si="16"/>
        <v>["2c54f4d6-5712-4e5a-a025-b7f7a396c39b"]</v>
      </c>
      <c r="V261" t="str">
        <f t="shared" si="17"/>
        <v/>
      </c>
      <c r="W261" t="str">
        <f t="shared" si="18"/>
        <v/>
      </c>
      <c r="X261" t="str">
        <f t="shared" si="19"/>
        <v/>
      </c>
    </row>
    <row r="262" spans="1:24" x14ac:dyDescent="0.25">
      <c r="A262" t="s">
        <v>1472</v>
      </c>
      <c r="B262" t="s">
        <v>1473</v>
      </c>
      <c r="C262" t="s">
        <v>1474</v>
      </c>
      <c r="F262" t="s">
        <v>1475</v>
      </c>
      <c r="L262" t="s">
        <v>24</v>
      </c>
      <c r="M262" t="s">
        <v>25</v>
      </c>
      <c r="O262" t="s">
        <v>26</v>
      </c>
      <c r="P262" t="s">
        <v>1476</v>
      </c>
      <c r="Q262" t="s">
        <v>28</v>
      </c>
      <c r="R262" s="3">
        <v>42365.920312499999</v>
      </c>
      <c r="T262" t="s">
        <v>433</v>
      </c>
      <c r="U262" t="str">
        <f t="shared" si="16"/>
        <v>["2c54f4d6-5712-4e5a-a025-b7f7a396c39b"]</v>
      </c>
      <c r="V262" t="str">
        <f t="shared" si="17"/>
        <v/>
      </c>
      <c r="W262" t="str">
        <f t="shared" si="18"/>
        <v/>
      </c>
      <c r="X262" t="str">
        <f t="shared" si="19"/>
        <v/>
      </c>
    </row>
    <row r="263" spans="1:24" x14ac:dyDescent="0.25">
      <c r="A263" t="s">
        <v>1477</v>
      </c>
      <c r="B263" t="s">
        <v>1478</v>
      </c>
      <c r="C263" t="s">
        <v>1479</v>
      </c>
      <c r="F263" t="s">
        <v>1480</v>
      </c>
      <c r="L263" t="s">
        <v>24</v>
      </c>
      <c r="M263" t="s">
        <v>25</v>
      </c>
      <c r="O263" t="s">
        <v>26</v>
      </c>
      <c r="P263" t="s">
        <v>1481</v>
      </c>
      <c r="Q263" t="s">
        <v>28</v>
      </c>
      <c r="R263" s="3">
        <v>42249.428437499999</v>
      </c>
      <c r="T263" t="s">
        <v>1482</v>
      </c>
      <c r="U263" t="str">
        <f t="shared" si="16"/>
        <v>["b01585af-110f-4f87-9bf1-06805605926c", "354f9aa0-2f0a-4cdf-9b60-d023da93cc76", "2ed52078-7e55-40ea-8036-0d89118a06f4", "146384fc-3f64-4482-a78a-2f082411a27d"]</v>
      </c>
      <c r="V263" t="str">
        <f t="shared" si="17"/>
        <v/>
      </c>
      <c r="W263" t="str">
        <f t="shared" si="18"/>
        <v/>
      </c>
      <c r="X263" t="str">
        <f t="shared" si="19"/>
        <v/>
      </c>
    </row>
    <row r="264" spans="1:24" ht="409.5" x14ac:dyDescent="0.25">
      <c r="A264" t="s">
        <v>1483</v>
      </c>
      <c r="B264" t="s">
        <v>1484</v>
      </c>
      <c r="C264" t="s">
        <v>1485</v>
      </c>
      <c r="F264" s="2" t="s">
        <v>1486</v>
      </c>
      <c r="L264" t="s">
        <v>24</v>
      </c>
      <c r="M264" t="s">
        <v>25</v>
      </c>
      <c r="O264" t="s">
        <v>26</v>
      </c>
      <c r="P264" t="s">
        <v>1487</v>
      </c>
      <c r="Q264" t="s">
        <v>28</v>
      </c>
      <c r="R264" s="3">
        <v>42365.930763888886</v>
      </c>
      <c r="T264" t="s">
        <v>433</v>
      </c>
      <c r="U264" t="str">
        <f t="shared" si="16"/>
        <v>["2c54f4d6-5712-4e5a-a025-b7f7a396c39b"]</v>
      </c>
      <c r="V264" t="str">
        <f t="shared" si="17"/>
        <v/>
      </c>
      <c r="W264" t="str">
        <f t="shared" si="18"/>
        <v/>
      </c>
      <c r="X264" t="str">
        <f t="shared" si="19"/>
        <v/>
      </c>
    </row>
    <row r="265" spans="1:24" ht="240" x14ac:dyDescent="0.25">
      <c r="A265" t="s">
        <v>1488</v>
      </c>
      <c r="B265" t="s">
        <v>1489</v>
      </c>
      <c r="C265" t="s">
        <v>1490</v>
      </c>
      <c r="F265" s="2" t="s">
        <v>1491</v>
      </c>
      <c r="L265" t="s">
        <v>24</v>
      </c>
      <c r="M265" t="s">
        <v>25</v>
      </c>
      <c r="O265" t="s">
        <v>26</v>
      </c>
      <c r="P265" t="s">
        <v>1492</v>
      </c>
      <c r="Q265" t="s">
        <v>28</v>
      </c>
      <c r="R265" s="3">
        <v>42365.98877314815</v>
      </c>
      <c r="T265" t="s">
        <v>433</v>
      </c>
      <c r="U265" t="str">
        <f t="shared" si="16"/>
        <v>["2c54f4d6-5712-4e5a-a025-b7f7a396c39b"]</v>
      </c>
      <c r="V265" t="str">
        <f t="shared" si="17"/>
        <v/>
      </c>
      <c r="W265" t="str">
        <f t="shared" si="18"/>
        <v/>
      </c>
      <c r="X265" t="str">
        <f t="shared" si="19"/>
        <v/>
      </c>
    </row>
    <row r="266" spans="1:24" x14ac:dyDescent="0.25">
      <c r="A266" t="s">
        <v>1493</v>
      </c>
      <c r="B266" t="s">
        <v>1494</v>
      </c>
      <c r="C266" t="s">
        <v>1495</v>
      </c>
      <c r="F266" t="s">
        <v>1496</v>
      </c>
      <c r="L266" t="s">
        <v>24</v>
      </c>
      <c r="M266" t="s">
        <v>25</v>
      </c>
      <c r="O266" t="s">
        <v>26</v>
      </c>
      <c r="P266" t="s">
        <v>1497</v>
      </c>
      <c r="Q266" t="s">
        <v>28</v>
      </c>
      <c r="R266" s="3">
        <v>42831.452986111108</v>
      </c>
      <c r="T266" t="s">
        <v>1498</v>
      </c>
      <c r="U266" t="str">
        <f t="shared" si="16"/>
        <v>["4c1e5a1a-9847-4814-8018-0bcaf7f0aead"]</v>
      </c>
      <c r="V266" t="str">
        <f t="shared" si="17"/>
        <v/>
      </c>
      <c r="W266" t="str">
        <f t="shared" si="18"/>
        <v/>
      </c>
      <c r="X266" t="str">
        <f t="shared" si="19"/>
        <v/>
      </c>
    </row>
    <row r="267" spans="1:24" ht="409.5" x14ac:dyDescent="0.25">
      <c r="A267" t="s">
        <v>1499</v>
      </c>
      <c r="B267" t="s">
        <v>1500</v>
      </c>
      <c r="C267" t="s">
        <v>1501</v>
      </c>
      <c r="F267" s="2" t="s">
        <v>1502</v>
      </c>
      <c r="L267" t="s">
        <v>24</v>
      </c>
      <c r="M267" t="s">
        <v>25</v>
      </c>
      <c r="O267" t="s">
        <v>26</v>
      </c>
      <c r="P267" t="s">
        <v>1503</v>
      </c>
      <c r="Q267" t="s">
        <v>28</v>
      </c>
      <c r="R267" s="3">
        <v>42716.567384259259</v>
      </c>
      <c r="T267" t="s">
        <v>1504</v>
      </c>
      <c r="U267" t="str">
        <f t="shared" si="16"/>
        <v>["d88a1246-9684-480b-a480-ff63286b35b7", "b5de6975-417b-4320-afdb-eb2a9e2a1dbf", "3d3c6c1c-56a1-4b78-af2c-56f476e91155", "bb8ccada-44cf-4f91-a84d-d602938c0529", "e45374c0-3e40-434c-92dc-203492ccee49", "a83f651d-9942-4699-92f5-a01051a43992", "46a7a06a-f69b-405e-aac2-77f775449ad3", "0454f5f3-1d8c-464e-847d-541901eb021a"]</v>
      </c>
      <c r="V267" t="str">
        <f t="shared" si="17"/>
        <v/>
      </c>
      <c r="W267" t="str">
        <f t="shared" si="18"/>
        <v/>
      </c>
      <c r="X267" t="str">
        <f t="shared" si="19"/>
        <v/>
      </c>
    </row>
    <row r="268" spans="1:24" ht="409.5" x14ac:dyDescent="0.25">
      <c r="A268" t="s">
        <v>1505</v>
      </c>
      <c r="B268" t="s">
        <v>1506</v>
      </c>
      <c r="C268" t="s">
        <v>1507</v>
      </c>
      <c r="F268" s="2" t="s">
        <v>1508</v>
      </c>
      <c r="L268" t="s">
        <v>24</v>
      </c>
      <c r="M268" t="s">
        <v>25</v>
      </c>
      <c r="O268" t="s">
        <v>26</v>
      </c>
      <c r="P268" t="s">
        <v>1509</v>
      </c>
      <c r="Q268" t="s">
        <v>28</v>
      </c>
      <c r="R268" s="3">
        <v>42332.495671296296</v>
      </c>
      <c r="T268" t="s">
        <v>1510</v>
      </c>
      <c r="U268" t="str">
        <f t="shared" si="16"/>
        <v>["5349b414-5069-45be-8869-7d94261d4936"]</v>
      </c>
      <c r="V268" t="str">
        <f t="shared" si="17"/>
        <v/>
      </c>
      <c r="W268" t="str">
        <f t="shared" si="18"/>
        <v/>
      </c>
      <c r="X268" t="str">
        <f t="shared" si="19"/>
        <v/>
      </c>
    </row>
    <row r="269" spans="1:24" x14ac:dyDescent="0.25">
      <c r="A269" t="s">
        <v>1511</v>
      </c>
      <c r="B269" t="s">
        <v>1512</v>
      </c>
      <c r="C269" t="s">
        <v>1513</v>
      </c>
      <c r="F269" t="s">
        <v>1514</v>
      </c>
      <c r="L269" t="s">
        <v>24</v>
      </c>
      <c r="M269" t="s">
        <v>25</v>
      </c>
      <c r="O269" t="s">
        <v>26</v>
      </c>
      <c r="P269" t="s">
        <v>1515</v>
      </c>
      <c r="Q269" t="s">
        <v>28</v>
      </c>
      <c r="R269" s="3">
        <v>42871.433900462966</v>
      </c>
      <c r="T269" t="s">
        <v>1516</v>
      </c>
      <c r="U269" t="str">
        <f t="shared" si="16"/>
        <v>["35691b6c-9ed7-4517-b4b3-688b0569729a"]</v>
      </c>
      <c r="V269" t="str">
        <f t="shared" si="17"/>
        <v/>
      </c>
      <c r="W269" t="str">
        <f t="shared" si="18"/>
        <v/>
      </c>
      <c r="X269" t="str">
        <f t="shared" si="19"/>
        <v/>
      </c>
    </row>
    <row r="270" spans="1:24" x14ac:dyDescent="0.25">
      <c r="A270" t="s">
        <v>1517</v>
      </c>
      <c r="B270" t="s">
        <v>1518</v>
      </c>
      <c r="C270" t="s">
        <v>1519</v>
      </c>
      <c r="F270" t="s">
        <v>1520</v>
      </c>
      <c r="L270" t="s">
        <v>24</v>
      </c>
      <c r="M270" t="s">
        <v>25</v>
      </c>
      <c r="O270" t="s">
        <v>26</v>
      </c>
      <c r="P270" t="s">
        <v>1521</v>
      </c>
      <c r="Q270" t="s">
        <v>28</v>
      </c>
      <c r="R270" s="3">
        <v>41631.831458333334</v>
      </c>
      <c r="T270" t="s">
        <v>1150</v>
      </c>
      <c r="U270" t="str">
        <f t="shared" si="16"/>
        <v>["1f4a62eb-6f1a-4bfe-b7cd-e6dede0be00a"]</v>
      </c>
      <c r="V270" t="str">
        <f t="shared" si="17"/>
        <v/>
      </c>
      <c r="W270" t="str">
        <f t="shared" si="18"/>
        <v/>
      </c>
      <c r="X270" t="str">
        <f t="shared" si="19"/>
        <v/>
      </c>
    </row>
    <row r="271" spans="1:24" x14ac:dyDescent="0.25">
      <c r="A271" t="s">
        <v>1522</v>
      </c>
      <c r="B271" t="s">
        <v>1523</v>
      </c>
      <c r="C271" t="s">
        <v>1524</v>
      </c>
      <c r="F271" t="s">
        <v>1525</v>
      </c>
      <c r="L271" t="s">
        <v>24</v>
      </c>
      <c r="M271" t="s">
        <v>25</v>
      </c>
      <c r="O271" t="s">
        <v>26</v>
      </c>
      <c r="P271" t="s">
        <v>1526</v>
      </c>
      <c r="Q271" t="s">
        <v>28</v>
      </c>
      <c r="R271" s="3">
        <v>42976.554479166669</v>
      </c>
      <c r="T271" t="s">
        <v>1527</v>
      </c>
      <c r="U271" t="str">
        <f t="shared" si="16"/>
        <v>["ab4a73b6-1c2d-42e1-b4d9-049e04889cf0"]</v>
      </c>
      <c r="V271" t="str">
        <f t="shared" si="17"/>
        <v/>
      </c>
      <c r="W271" t="str">
        <f t="shared" si="18"/>
        <v/>
      </c>
      <c r="X271" t="str">
        <f t="shared" si="19"/>
        <v/>
      </c>
    </row>
    <row r="272" spans="1:24" ht="409.5" x14ac:dyDescent="0.25">
      <c r="A272" t="s">
        <v>1528</v>
      </c>
      <c r="B272" t="s">
        <v>1529</v>
      </c>
      <c r="C272" t="s">
        <v>1530</v>
      </c>
      <c r="F272" s="2" t="s">
        <v>1531</v>
      </c>
      <c r="L272" t="s">
        <v>24</v>
      </c>
      <c r="M272" t="s">
        <v>25</v>
      </c>
      <c r="O272" t="s">
        <v>26</v>
      </c>
      <c r="P272" t="s">
        <v>1532</v>
      </c>
      <c r="Q272" t="s">
        <v>28</v>
      </c>
      <c r="R272" s="3">
        <v>42438.401979166665</v>
      </c>
      <c r="T272" t="s">
        <v>1533</v>
      </c>
      <c r="U272" t="str">
        <f t="shared" si="16"/>
        <v>["7cf0da04-1f77-4321-929e-78172c74aa0b", "76c2e577-268f-4a93-bccd-7d5b43b14efd", "1039ed7e-97fb-435f-b6cc-f6a105ba5e09", "ee97fa6e-e96c-4f37-ae3f-26b2ed3ada0d"]</v>
      </c>
      <c r="V272" t="str">
        <f t="shared" si="17"/>
        <v/>
      </c>
      <c r="W272" t="str">
        <f t="shared" si="18"/>
        <v/>
      </c>
      <c r="X272" t="str">
        <f t="shared" si="19"/>
        <v/>
      </c>
    </row>
    <row r="273" spans="1:24" x14ac:dyDescent="0.25">
      <c r="A273" t="s">
        <v>1534</v>
      </c>
      <c r="B273" t="s">
        <v>1535</v>
      </c>
      <c r="C273" t="s">
        <v>1536</v>
      </c>
      <c r="F273" t="s">
        <v>1537</v>
      </c>
      <c r="L273" t="s">
        <v>24</v>
      </c>
      <c r="M273" t="s">
        <v>25</v>
      </c>
      <c r="O273" t="s">
        <v>26</v>
      </c>
      <c r="P273" t="s">
        <v>1538</v>
      </c>
      <c r="Q273" t="s">
        <v>28</v>
      </c>
      <c r="R273" s="3">
        <v>42494.467870370368</v>
      </c>
      <c r="T273" t="s">
        <v>1539</v>
      </c>
      <c r="U273" t="str">
        <f t="shared" si="16"/>
        <v>["522d3045-0b37-48d0-b868-57c99726b1c4", "9b40a0af-a6fe-47ff-9624-2ea8f40c746f", "523ba2e4-8c55-4dde-8acf-39e3621811b0", "2c54f4d6-5712-4e5a-a025-b7f7a396c39b"]</v>
      </c>
      <c r="V273" t="str">
        <f t="shared" si="17"/>
        <v/>
      </c>
      <c r="W273" t="str">
        <f t="shared" si="18"/>
        <v/>
      </c>
      <c r="X273" t="str">
        <f t="shared" si="19"/>
        <v/>
      </c>
    </row>
    <row r="274" spans="1:24" x14ac:dyDescent="0.25">
      <c r="A274" t="s">
        <v>1540</v>
      </c>
      <c r="B274" t="s">
        <v>1541</v>
      </c>
      <c r="C274" t="s">
        <v>1542</v>
      </c>
      <c r="F274" t="s">
        <v>1543</v>
      </c>
      <c r="L274" t="s">
        <v>24</v>
      </c>
      <c r="M274" t="s">
        <v>25</v>
      </c>
      <c r="O274" t="s">
        <v>26</v>
      </c>
      <c r="P274" t="s">
        <v>1544</v>
      </c>
      <c r="Q274" t="s">
        <v>28</v>
      </c>
      <c r="R274" s="3">
        <v>42360.668229166666</v>
      </c>
      <c r="T274" t="s">
        <v>99</v>
      </c>
      <c r="U274" t="str">
        <f t="shared" si="16"/>
        <v>["c91a4635-8b7d-43fe-9b27-d95dec8392a7"]</v>
      </c>
      <c r="V274" t="str">
        <f t="shared" si="17"/>
        <v/>
      </c>
      <c r="W274" t="str">
        <f t="shared" si="18"/>
        <v/>
      </c>
      <c r="X274" t="str">
        <f t="shared" si="19"/>
        <v/>
      </c>
    </row>
    <row r="275" spans="1:24" x14ac:dyDescent="0.25">
      <c r="A275" t="s">
        <v>1545</v>
      </c>
      <c r="B275" t="s">
        <v>1546</v>
      </c>
      <c r="C275" t="s">
        <v>1547</v>
      </c>
      <c r="F275" t="s">
        <v>1548</v>
      </c>
      <c r="L275" t="s">
        <v>24</v>
      </c>
      <c r="M275" t="s">
        <v>25</v>
      </c>
      <c r="O275" t="s">
        <v>26</v>
      </c>
      <c r="P275" t="s">
        <v>1549</v>
      </c>
      <c r="Q275" t="s">
        <v>28</v>
      </c>
      <c r="R275" s="3">
        <v>42366.021747685183</v>
      </c>
      <c r="T275" t="s">
        <v>433</v>
      </c>
      <c r="U275" t="str">
        <f t="shared" si="16"/>
        <v>["2c54f4d6-5712-4e5a-a025-b7f7a396c39b"]</v>
      </c>
      <c r="V275" t="str">
        <f t="shared" si="17"/>
        <v/>
      </c>
      <c r="W275" t="str">
        <f t="shared" si="18"/>
        <v/>
      </c>
      <c r="X275" t="str">
        <f t="shared" si="19"/>
        <v/>
      </c>
    </row>
    <row r="276" spans="1:24" ht="120" x14ac:dyDescent="0.25">
      <c r="A276" t="s">
        <v>1550</v>
      </c>
      <c r="B276" t="s">
        <v>1551</v>
      </c>
      <c r="C276" t="s">
        <v>1552</v>
      </c>
      <c r="F276" s="2" t="s">
        <v>1553</v>
      </c>
      <c r="L276" t="s">
        <v>24</v>
      </c>
      <c r="M276" t="s">
        <v>25</v>
      </c>
      <c r="O276" t="s">
        <v>26</v>
      </c>
      <c r="P276" t="s">
        <v>1554</v>
      </c>
      <c r="Q276" t="s">
        <v>28</v>
      </c>
      <c r="R276" s="3">
        <v>42366.026562500003</v>
      </c>
      <c r="T276" t="s">
        <v>433</v>
      </c>
      <c r="U276" t="str">
        <f t="shared" si="16"/>
        <v>["2c54f4d6-5712-4e5a-a025-b7f7a396c39b"]</v>
      </c>
      <c r="V276" t="str">
        <f t="shared" si="17"/>
        <v/>
      </c>
      <c r="W276" t="str">
        <f t="shared" si="18"/>
        <v/>
      </c>
      <c r="X276" t="str">
        <f t="shared" si="19"/>
        <v/>
      </c>
    </row>
    <row r="277" spans="1:24" x14ac:dyDescent="0.25">
      <c r="A277" t="s">
        <v>1555</v>
      </c>
      <c r="B277" t="s">
        <v>1556</v>
      </c>
      <c r="C277" t="s">
        <v>1557</v>
      </c>
      <c r="F277" t="s">
        <v>1558</v>
      </c>
      <c r="L277" t="s">
        <v>24</v>
      </c>
      <c r="M277" t="s">
        <v>25</v>
      </c>
      <c r="O277" t="s">
        <v>26</v>
      </c>
      <c r="P277" t="s">
        <v>1559</v>
      </c>
      <c r="Q277" t="s">
        <v>28</v>
      </c>
      <c r="R277" s="3">
        <v>42622.366157407407</v>
      </c>
      <c r="T277" t="s">
        <v>123</v>
      </c>
      <c r="U277" t="str">
        <f t="shared" si="16"/>
        <v>["523ba2e4-8c55-4dde-8acf-39e3621811b0"]</v>
      </c>
      <c r="V277" t="str">
        <f t="shared" si="17"/>
        <v/>
      </c>
      <c r="W277" t="str">
        <f t="shared" si="18"/>
        <v/>
      </c>
      <c r="X277" t="str">
        <f t="shared" si="19"/>
        <v/>
      </c>
    </row>
    <row r="278" spans="1:24" x14ac:dyDescent="0.25">
      <c r="A278" t="s">
        <v>1560</v>
      </c>
      <c r="B278" t="s">
        <v>1561</v>
      </c>
      <c r="C278" t="s">
        <v>1562</v>
      </c>
      <c r="F278" t="s">
        <v>1563</v>
      </c>
      <c r="L278" t="s">
        <v>24</v>
      </c>
      <c r="M278" t="s">
        <v>25</v>
      </c>
      <c r="O278" t="s">
        <v>26</v>
      </c>
      <c r="P278" t="s">
        <v>1564</v>
      </c>
      <c r="Q278" t="s">
        <v>28</v>
      </c>
      <c r="R278" s="3">
        <v>42365.98332175926</v>
      </c>
      <c r="T278" t="s">
        <v>433</v>
      </c>
      <c r="U278" t="str">
        <f t="shared" si="16"/>
        <v>["2c54f4d6-5712-4e5a-a025-b7f7a396c39b"]</v>
      </c>
      <c r="V278" t="str">
        <f t="shared" si="17"/>
        <v/>
      </c>
      <c r="W278" t="str">
        <f t="shared" si="18"/>
        <v/>
      </c>
      <c r="X278" t="str">
        <f t="shared" si="19"/>
        <v/>
      </c>
    </row>
    <row r="279" spans="1:24" x14ac:dyDescent="0.25">
      <c r="A279" t="s">
        <v>1565</v>
      </c>
      <c r="B279" t="s">
        <v>1566</v>
      </c>
      <c r="C279" t="s">
        <v>1567</v>
      </c>
      <c r="F279" t="s">
        <v>1568</v>
      </c>
      <c r="L279" t="s">
        <v>24</v>
      </c>
      <c r="M279" t="s">
        <v>25</v>
      </c>
      <c r="O279" t="s">
        <v>26</v>
      </c>
      <c r="P279" t="s">
        <v>1569</v>
      </c>
      <c r="Q279" t="s">
        <v>28</v>
      </c>
      <c r="R279" s="3">
        <v>42622.381967592592</v>
      </c>
      <c r="T279" t="s">
        <v>1570</v>
      </c>
      <c r="U279" t="str">
        <f t="shared" si="16"/>
        <v>["214a3e63-31aa-47de-a49c-5ea5a80330ed"]</v>
      </c>
      <c r="V279" t="str">
        <f t="shared" si="17"/>
        <v/>
      </c>
      <c r="W279" t="str">
        <f t="shared" si="18"/>
        <v/>
      </c>
      <c r="X279" t="str">
        <f t="shared" si="19"/>
        <v/>
      </c>
    </row>
    <row r="280" spans="1:24" ht="409.5" x14ac:dyDescent="0.25">
      <c r="A280" t="s">
        <v>1571</v>
      </c>
      <c r="B280" t="s">
        <v>1572</v>
      </c>
      <c r="C280" t="s">
        <v>1573</v>
      </c>
      <c r="F280" s="2" t="s">
        <v>1574</v>
      </c>
      <c r="L280" t="s">
        <v>24</v>
      </c>
      <c r="M280" t="s">
        <v>25</v>
      </c>
      <c r="O280" t="s">
        <v>26</v>
      </c>
      <c r="P280" t="s">
        <v>1575</v>
      </c>
      <c r="Q280" t="s">
        <v>28</v>
      </c>
      <c r="R280" s="3">
        <v>42612.381736111114</v>
      </c>
      <c r="T280" t="s">
        <v>1281</v>
      </c>
      <c r="U280" t="str">
        <f t="shared" si="16"/>
        <v>["3fefc838-791d-4dde-975b-a4131a54e7c5"]</v>
      </c>
      <c r="V280" t="str">
        <f t="shared" si="17"/>
        <v/>
      </c>
      <c r="W280" t="str">
        <f t="shared" si="18"/>
        <v/>
      </c>
      <c r="X280" t="str">
        <f t="shared" si="19"/>
        <v/>
      </c>
    </row>
    <row r="281" spans="1:24" ht="409.5" x14ac:dyDescent="0.25">
      <c r="A281" t="s">
        <v>1576</v>
      </c>
      <c r="B281" t="s">
        <v>1577</v>
      </c>
      <c r="C281" t="s">
        <v>1578</v>
      </c>
      <c r="F281" s="2" t="s">
        <v>1579</v>
      </c>
      <c r="L281" t="s">
        <v>24</v>
      </c>
      <c r="M281" t="s">
        <v>25</v>
      </c>
      <c r="O281" t="s">
        <v>26</v>
      </c>
      <c r="P281" t="s">
        <v>1580</v>
      </c>
      <c r="Q281" t="s">
        <v>28</v>
      </c>
      <c r="R281" s="3">
        <v>42366.08699074074</v>
      </c>
      <c r="T281" t="s">
        <v>1150</v>
      </c>
      <c r="U281" t="str">
        <f t="shared" si="16"/>
        <v>["1f4a62eb-6f1a-4bfe-b7cd-e6dede0be00a"]</v>
      </c>
      <c r="V281" t="str">
        <f t="shared" si="17"/>
        <v/>
      </c>
      <c r="W281" t="str">
        <f t="shared" si="18"/>
        <v/>
      </c>
      <c r="X281" t="str">
        <f t="shared" si="19"/>
        <v/>
      </c>
    </row>
    <row r="282" spans="1:24" ht="409.5" x14ac:dyDescent="0.25">
      <c r="A282" t="s">
        <v>1581</v>
      </c>
      <c r="B282" t="s">
        <v>1582</v>
      </c>
      <c r="C282" t="s">
        <v>1583</v>
      </c>
      <c r="F282" s="2" t="s">
        <v>1584</v>
      </c>
      <c r="L282" t="s">
        <v>24</v>
      </c>
      <c r="M282" t="s">
        <v>25</v>
      </c>
      <c r="O282" t="s">
        <v>26</v>
      </c>
      <c r="P282" t="s">
        <v>1585</v>
      </c>
      <c r="Q282" t="s">
        <v>28</v>
      </c>
      <c r="R282" s="3">
        <v>42642.370254629626</v>
      </c>
      <c r="T282" t="s">
        <v>1586</v>
      </c>
      <c r="U282" t="str">
        <f t="shared" si="16"/>
        <v>["6858b208-62bc-424e-9d7b-c89b74d3d3e3", "aa8876c7-9711-4969-b428-34400f2d0dbe", "6d92970a-d698-418b-8576-f3b03dc1a59a"]</v>
      </c>
      <c r="V282" t="str">
        <f t="shared" si="17"/>
        <v/>
      </c>
      <c r="W282" t="str">
        <f t="shared" si="18"/>
        <v/>
      </c>
      <c r="X282" t="str">
        <f t="shared" si="19"/>
        <v/>
      </c>
    </row>
    <row r="283" spans="1:24" ht="409.5" x14ac:dyDescent="0.25">
      <c r="A283" t="s">
        <v>1587</v>
      </c>
      <c r="B283" t="s">
        <v>1588</v>
      </c>
      <c r="C283" t="s">
        <v>1589</v>
      </c>
      <c r="F283" s="2" t="s">
        <v>1590</v>
      </c>
      <c r="L283" t="s">
        <v>24</v>
      </c>
      <c r="M283" t="s">
        <v>25</v>
      </c>
      <c r="O283" t="s">
        <v>26</v>
      </c>
      <c r="P283" t="s">
        <v>1591</v>
      </c>
      <c r="Q283" t="s">
        <v>28</v>
      </c>
      <c r="R283" s="3">
        <v>42514.442812499998</v>
      </c>
      <c r="T283" t="s">
        <v>433</v>
      </c>
      <c r="U283" t="str">
        <f t="shared" si="16"/>
        <v>["2c54f4d6-5712-4e5a-a025-b7f7a396c39b"]</v>
      </c>
      <c r="V283" t="str">
        <f t="shared" si="17"/>
        <v/>
      </c>
      <c r="W283" t="str">
        <f t="shared" si="18"/>
        <v/>
      </c>
      <c r="X283" t="str">
        <f t="shared" si="19"/>
        <v/>
      </c>
    </row>
    <row r="284" spans="1:24" ht="409.5" x14ac:dyDescent="0.25">
      <c r="A284" t="s">
        <v>1592</v>
      </c>
      <c r="B284" t="s">
        <v>1593</v>
      </c>
      <c r="C284" t="s">
        <v>1594</v>
      </c>
      <c r="F284" s="2" t="s">
        <v>1595</v>
      </c>
      <c r="L284" t="s">
        <v>24</v>
      </c>
      <c r="M284" t="s">
        <v>25</v>
      </c>
      <c r="O284" t="s">
        <v>26</v>
      </c>
      <c r="P284" t="s">
        <v>1596</v>
      </c>
      <c r="Q284" t="s">
        <v>28</v>
      </c>
      <c r="R284" s="3">
        <v>42415.440138888887</v>
      </c>
      <c r="T284" t="s">
        <v>1597</v>
      </c>
      <c r="U284" t="str">
        <f t="shared" si="16"/>
        <v>["254757be-69ef-4a6c-a4c1-1432815d7522", "2c54f4d6-5712-4e5a-a025-b7f7a396c39b"]</v>
      </c>
      <c r="V284" t="str">
        <f t="shared" si="17"/>
        <v/>
      </c>
      <c r="W284" t="str">
        <f t="shared" si="18"/>
        <v/>
      </c>
      <c r="X284" t="str">
        <f t="shared" si="19"/>
        <v/>
      </c>
    </row>
    <row r="285" spans="1:24" x14ac:dyDescent="0.25">
      <c r="A285" t="s">
        <v>1598</v>
      </c>
      <c r="B285" t="s">
        <v>1599</v>
      </c>
      <c r="C285" t="s">
        <v>1600</v>
      </c>
      <c r="F285" t="s">
        <v>1601</v>
      </c>
      <c r="L285" t="s">
        <v>24</v>
      </c>
      <c r="M285" t="s">
        <v>25</v>
      </c>
      <c r="O285" t="s">
        <v>26</v>
      </c>
      <c r="P285" t="s">
        <v>1602</v>
      </c>
      <c r="Q285" t="s">
        <v>28</v>
      </c>
      <c r="R285" s="3">
        <v>42599.413877314815</v>
      </c>
      <c r="T285" t="s">
        <v>433</v>
      </c>
      <c r="U285" t="str">
        <f t="shared" si="16"/>
        <v>["2c54f4d6-5712-4e5a-a025-b7f7a396c39b"]</v>
      </c>
      <c r="V285" t="str">
        <f t="shared" si="17"/>
        <v/>
      </c>
      <c r="W285" t="str">
        <f t="shared" si="18"/>
        <v/>
      </c>
      <c r="X285" t="str">
        <f t="shared" si="19"/>
        <v/>
      </c>
    </row>
    <row r="286" spans="1:24" x14ac:dyDescent="0.25">
      <c r="A286" t="s">
        <v>1603</v>
      </c>
      <c r="B286" t="s">
        <v>1604</v>
      </c>
      <c r="C286" t="s">
        <v>1605</v>
      </c>
      <c r="F286" t="s">
        <v>1606</v>
      </c>
      <c r="L286" t="s">
        <v>24</v>
      </c>
      <c r="M286" t="s">
        <v>25</v>
      </c>
      <c r="O286" t="s">
        <v>26</v>
      </c>
      <c r="P286" t="s">
        <v>1607</v>
      </c>
      <c r="Q286" t="s">
        <v>28</v>
      </c>
      <c r="R286" s="3">
        <v>42976.538958333331</v>
      </c>
      <c r="T286" t="s">
        <v>1608</v>
      </c>
      <c r="U286" t="str">
        <f t="shared" si="16"/>
        <v>["97ef14eb-f280-48a7-96c0-df03859b06c2"]</v>
      </c>
      <c r="V286" t="str">
        <f t="shared" si="17"/>
        <v/>
      </c>
      <c r="W286" t="str">
        <f t="shared" si="18"/>
        <v/>
      </c>
      <c r="X286" t="str">
        <f t="shared" si="19"/>
        <v/>
      </c>
    </row>
    <row r="287" spans="1:24" x14ac:dyDescent="0.25">
      <c r="A287" t="s">
        <v>1609</v>
      </c>
      <c r="B287" t="s">
        <v>1610</v>
      </c>
      <c r="C287" t="s">
        <v>1611</v>
      </c>
      <c r="F287" t="s">
        <v>1612</v>
      </c>
      <c r="L287" t="s">
        <v>24</v>
      </c>
      <c r="M287" t="s">
        <v>25</v>
      </c>
      <c r="O287" t="s">
        <v>26</v>
      </c>
      <c r="P287" t="s">
        <v>1613</v>
      </c>
      <c r="Q287" t="s">
        <v>28</v>
      </c>
      <c r="R287" s="3">
        <v>42773.614722222221</v>
      </c>
      <c r="T287" t="s">
        <v>1614</v>
      </c>
      <c r="U287" t="str">
        <f t="shared" si="16"/>
        <v>["1929d4af-542d-4884-94cd-bff95e537ebd", "de000cc7-d480-4384-a056-a90362fab95d", "27161877-c998-486d-8431-bfe2b98b01b6", "1780b0e8-297d-40c7-8341-6bba62087c53", "a25fb527-bff2-4701-ade5-b47018bf31d2", "786d5be0-47ea-4c64-8299-2ee28b1ddfef"]</v>
      </c>
      <c r="V287" t="str">
        <f t="shared" si="17"/>
        <v/>
      </c>
      <c r="W287" t="str">
        <f t="shared" si="18"/>
        <v/>
      </c>
      <c r="X287" t="str">
        <f t="shared" si="19"/>
        <v/>
      </c>
    </row>
    <row r="288" spans="1:24" ht="405" x14ac:dyDescent="0.25">
      <c r="A288" t="s">
        <v>1615</v>
      </c>
      <c r="B288" t="s">
        <v>1616</v>
      </c>
      <c r="C288" t="s">
        <v>1617</v>
      </c>
      <c r="F288" s="2" t="s">
        <v>1618</v>
      </c>
      <c r="L288" t="s">
        <v>24</v>
      </c>
      <c r="M288" t="s">
        <v>25</v>
      </c>
      <c r="O288" t="s">
        <v>26</v>
      </c>
      <c r="P288" t="s">
        <v>1619</v>
      </c>
      <c r="Q288" t="s">
        <v>28</v>
      </c>
      <c r="R288" s="3">
        <v>42544.416597222225</v>
      </c>
      <c r="T288" t="s">
        <v>433</v>
      </c>
      <c r="U288" t="str">
        <f t="shared" si="16"/>
        <v>["2c54f4d6-5712-4e5a-a025-b7f7a396c39b"]</v>
      </c>
      <c r="V288" t="str">
        <f t="shared" si="17"/>
        <v/>
      </c>
      <c r="W288" t="str">
        <f t="shared" si="18"/>
        <v/>
      </c>
      <c r="X288" t="str">
        <f t="shared" si="19"/>
        <v/>
      </c>
    </row>
    <row r="289" spans="1:24" x14ac:dyDescent="0.25">
      <c r="A289" t="s">
        <v>1620</v>
      </c>
      <c r="B289" t="s">
        <v>1621</v>
      </c>
      <c r="C289" t="s">
        <v>1622</v>
      </c>
      <c r="F289" t="s">
        <v>1623</v>
      </c>
      <c r="L289" t="s">
        <v>24</v>
      </c>
      <c r="M289" t="s">
        <v>25</v>
      </c>
      <c r="O289" t="s">
        <v>26</v>
      </c>
      <c r="P289" t="s">
        <v>1624</v>
      </c>
      <c r="Q289" t="s">
        <v>28</v>
      </c>
      <c r="R289" s="3">
        <v>42908.439837962964</v>
      </c>
      <c r="T289" t="s">
        <v>1625</v>
      </c>
      <c r="U289" t="str">
        <f t="shared" si="16"/>
        <v>["17f04f16-1c02-4f94-90e3-e27e92535a83", "32b03b8c-e860-4416-a433-fab84cb935a6", "15516cf5-09c1-4e69-acf8-3d43183dd026", "0adc90c9-ac6b-47ef-aa83-b7780594720c", "a73c5b74-a9c9-4caa-a796-e4c832645614", "3e62e13e-3955-494a-91b3-f00ab9e84b48", "716d89ce-b0da-4158-abb6-72f562206b37", "2adc5a86-faa3-4b63-acff-a66128b811b7", "87f121a7-eef0-4be9-9372-a5efe5b4d375", "fc725989-5c3e-4bf4-89b1-68caeec4d858", "c1ba372b-dba2-4bce-b72e-b5c832eaaf44", "522d3045-0b37-48d0-b868-57c99726b1c4"]</v>
      </c>
      <c r="V289" t="str">
        <f t="shared" si="17"/>
        <v/>
      </c>
      <c r="W289" t="str">
        <f t="shared" si="18"/>
        <v/>
      </c>
      <c r="X289" t="str">
        <f t="shared" si="19"/>
        <v/>
      </c>
    </row>
    <row r="290" spans="1:24" ht="409.5" x14ac:dyDescent="0.25">
      <c r="A290" t="s">
        <v>1626</v>
      </c>
      <c r="B290" t="s">
        <v>1627</v>
      </c>
      <c r="C290" t="s">
        <v>1628</v>
      </c>
      <c r="F290" s="2" t="s">
        <v>1629</v>
      </c>
      <c r="L290" t="s">
        <v>24</v>
      </c>
      <c r="M290" t="s">
        <v>25</v>
      </c>
      <c r="O290" t="s">
        <v>26</v>
      </c>
      <c r="P290" t="s">
        <v>1630</v>
      </c>
      <c r="Q290" t="s">
        <v>28</v>
      </c>
      <c r="R290" s="3">
        <v>43306.650081018517</v>
      </c>
      <c r="T290" t="s">
        <v>1068</v>
      </c>
      <c r="U290" t="str">
        <f t="shared" si="16"/>
        <v>["2646025c-8ab9-4850-b76c-c2f508b34798"]</v>
      </c>
      <c r="V290" t="str">
        <f t="shared" si="17"/>
        <v/>
      </c>
      <c r="W290" t="str">
        <f t="shared" si="18"/>
        <v/>
      </c>
      <c r="X290" t="str">
        <f t="shared" si="19"/>
        <v/>
      </c>
    </row>
    <row r="291" spans="1:24" ht="409.5" x14ac:dyDescent="0.25">
      <c r="A291" t="s">
        <v>1631</v>
      </c>
      <c r="B291" t="s">
        <v>1632</v>
      </c>
      <c r="C291" t="s">
        <v>1633</v>
      </c>
      <c r="F291" s="2" t="s">
        <v>1634</v>
      </c>
      <c r="L291" t="s">
        <v>24</v>
      </c>
      <c r="M291" t="s">
        <v>25</v>
      </c>
      <c r="O291" t="s">
        <v>26</v>
      </c>
      <c r="P291" t="s">
        <v>1635</v>
      </c>
      <c r="Q291" t="s">
        <v>28</v>
      </c>
      <c r="R291" s="3">
        <v>42549.431319444448</v>
      </c>
      <c r="T291" t="s">
        <v>1636</v>
      </c>
      <c r="U291" t="str">
        <f t="shared" si="16"/>
        <v>["9c203fec-dc0d-412c-a7a3-7fd77d0346f1"]</v>
      </c>
      <c r="V291" t="str">
        <f t="shared" si="17"/>
        <v/>
      </c>
      <c r="W291" t="str">
        <f t="shared" si="18"/>
        <v/>
      </c>
      <c r="X291" t="str">
        <f t="shared" si="19"/>
        <v/>
      </c>
    </row>
    <row r="292" spans="1:24" x14ac:dyDescent="0.25">
      <c r="A292" t="s">
        <v>1637</v>
      </c>
      <c r="B292" t="s">
        <v>1638</v>
      </c>
      <c r="C292" t="s">
        <v>1639</v>
      </c>
      <c r="F292" t="s">
        <v>1640</v>
      </c>
      <c r="L292" t="s">
        <v>24</v>
      </c>
      <c r="M292" t="s">
        <v>25</v>
      </c>
      <c r="O292" t="s">
        <v>26</v>
      </c>
      <c r="P292" t="s">
        <v>1641</v>
      </c>
      <c r="Q292" t="s">
        <v>28</v>
      </c>
      <c r="R292" s="3">
        <v>42716.650717592594</v>
      </c>
      <c r="T292" t="s">
        <v>1642</v>
      </c>
      <c r="U292" t="str">
        <f t="shared" si="16"/>
        <v>["16c7fa5b-e2ac-4558-b76c-506766d3949d", "c223b93a-2634-4f06-ac73-8709b9e16888", "9c203fec-dc0d-412c-a7a3-7fd77d0346f1"]</v>
      </c>
      <c r="V292" t="str">
        <f t="shared" si="17"/>
        <v/>
      </c>
      <c r="W292" t="str">
        <f t="shared" si="18"/>
        <v/>
      </c>
      <c r="X292" t="str">
        <f t="shared" si="19"/>
        <v/>
      </c>
    </row>
    <row r="293" spans="1:24" x14ac:dyDescent="0.25">
      <c r="A293" t="s">
        <v>1643</v>
      </c>
      <c r="B293" t="s">
        <v>1644</v>
      </c>
      <c r="C293" t="s">
        <v>1645</v>
      </c>
      <c r="F293" t="s">
        <v>1646</v>
      </c>
      <c r="L293" t="s">
        <v>24</v>
      </c>
      <c r="M293" t="s">
        <v>25</v>
      </c>
      <c r="O293" t="s">
        <v>26</v>
      </c>
      <c r="P293" t="s">
        <v>1647</v>
      </c>
      <c r="Q293" t="s">
        <v>28</v>
      </c>
      <c r="R293" s="3">
        <v>42849.4846412037</v>
      </c>
      <c r="T293" t="s">
        <v>1648</v>
      </c>
      <c r="U293" t="str">
        <f t="shared" si="16"/>
        <v>["2c54f4d6-5712-4e5a-a025-b7f7a396c39b", "d88a1246-9684-480b-a480-ff63286b35b7"]</v>
      </c>
      <c r="V293" t="str">
        <f t="shared" si="17"/>
        <v/>
      </c>
      <c r="W293" t="str">
        <f t="shared" si="18"/>
        <v/>
      </c>
      <c r="X293" t="str">
        <f t="shared" si="19"/>
        <v/>
      </c>
    </row>
    <row r="294" spans="1:24" x14ac:dyDescent="0.25">
      <c r="A294" t="s">
        <v>1649</v>
      </c>
      <c r="B294" t="s">
        <v>1650</v>
      </c>
      <c r="C294" t="s">
        <v>1651</v>
      </c>
      <c r="F294" t="s">
        <v>1652</v>
      </c>
      <c r="L294" t="s">
        <v>24</v>
      </c>
      <c r="M294" t="s">
        <v>25</v>
      </c>
      <c r="O294" t="s">
        <v>26</v>
      </c>
      <c r="P294" t="s">
        <v>1653</v>
      </c>
      <c r="Q294" t="s">
        <v>28</v>
      </c>
      <c r="R294" s="3">
        <v>42576.613634259258</v>
      </c>
      <c r="T294" t="s">
        <v>29</v>
      </c>
      <c r="U294" t="str">
        <f t="shared" si="16"/>
        <v>[]</v>
      </c>
      <c r="V294" t="str">
        <f t="shared" si="17"/>
        <v/>
      </c>
      <c r="W294" t="str">
        <f t="shared" si="18"/>
        <v/>
      </c>
      <c r="X294" t="str">
        <f t="shared" si="19"/>
        <v/>
      </c>
    </row>
    <row r="295" spans="1:24" x14ac:dyDescent="0.25">
      <c r="A295" t="s">
        <v>1654</v>
      </c>
      <c r="B295" t="s">
        <v>1655</v>
      </c>
      <c r="C295" t="s">
        <v>1656</v>
      </c>
      <c r="F295" t="s">
        <v>1657</v>
      </c>
      <c r="L295" t="s">
        <v>24</v>
      </c>
      <c r="M295" t="s">
        <v>25</v>
      </c>
      <c r="O295" t="s">
        <v>26</v>
      </c>
      <c r="P295" t="s">
        <v>1658</v>
      </c>
      <c r="Q295" t="s">
        <v>28</v>
      </c>
      <c r="R295" s="3">
        <v>42697.471574074072</v>
      </c>
      <c r="T295" t="s">
        <v>674</v>
      </c>
      <c r="U295" t="str">
        <f t="shared" si="16"/>
        <v>["522d3045-0b37-48d0-b868-57c99726b1c4"]</v>
      </c>
      <c r="V295" t="str">
        <f t="shared" si="17"/>
        <v/>
      </c>
      <c r="W295" t="str">
        <f t="shared" si="18"/>
        <v/>
      </c>
      <c r="X295" t="str">
        <f t="shared" si="19"/>
        <v/>
      </c>
    </row>
    <row r="296" spans="1:24" x14ac:dyDescent="0.25">
      <c r="A296" t="s">
        <v>1659</v>
      </c>
      <c r="B296" t="s">
        <v>1660</v>
      </c>
      <c r="C296" t="s">
        <v>1661</v>
      </c>
      <c r="F296" t="s">
        <v>1662</v>
      </c>
      <c r="L296" t="s">
        <v>24</v>
      </c>
      <c r="M296" t="s">
        <v>25</v>
      </c>
      <c r="O296" t="s">
        <v>26</v>
      </c>
      <c r="P296" t="s">
        <v>1663</v>
      </c>
      <c r="Q296" t="s">
        <v>28</v>
      </c>
      <c r="R296" s="3">
        <v>42822.429826388892</v>
      </c>
      <c r="T296" t="s">
        <v>1664</v>
      </c>
      <c r="U296" t="str">
        <f t="shared" si="16"/>
        <v>["128e3b47-1e44-3791-bee2-3b06b2cd58f4"]</v>
      </c>
      <c r="V296" t="str">
        <f t="shared" si="17"/>
        <v/>
      </c>
      <c r="W296" t="str">
        <f t="shared" si="18"/>
        <v/>
      </c>
      <c r="X296" t="str">
        <f t="shared" si="19"/>
        <v/>
      </c>
    </row>
    <row r="297" spans="1:24" x14ac:dyDescent="0.25">
      <c r="A297" t="s">
        <v>1665</v>
      </c>
      <c r="B297" t="s">
        <v>1666</v>
      </c>
      <c r="C297" t="s">
        <v>1667</v>
      </c>
      <c r="F297" t="s">
        <v>1668</v>
      </c>
      <c r="L297" t="s">
        <v>24</v>
      </c>
      <c r="M297" t="s">
        <v>25</v>
      </c>
      <c r="O297" t="s">
        <v>26</v>
      </c>
      <c r="P297" t="s">
        <v>1669</v>
      </c>
      <c r="Q297" t="s">
        <v>28</v>
      </c>
      <c r="R297" s="3">
        <v>42843.440196759257</v>
      </c>
      <c r="T297" t="s">
        <v>674</v>
      </c>
      <c r="U297" t="str">
        <f t="shared" si="16"/>
        <v>["522d3045-0b37-48d0-b868-57c99726b1c4"]</v>
      </c>
      <c r="V297" t="str">
        <f t="shared" si="17"/>
        <v/>
      </c>
      <c r="W297" t="str">
        <f t="shared" si="18"/>
        <v/>
      </c>
      <c r="X297" t="str">
        <f t="shared" si="19"/>
        <v/>
      </c>
    </row>
    <row r="298" spans="1:24" ht="409.5" x14ac:dyDescent="0.25">
      <c r="A298" t="s">
        <v>1670</v>
      </c>
      <c r="B298" t="s">
        <v>1671</v>
      </c>
      <c r="C298" t="s">
        <v>1672</v>
      </c>
      <c r="F298" s="2" t="s">
        <v>1673</v>
      </c>
      <c r="L298" t="s">
        <v>24</v>
      </c>
      <c r="M298" t="s">
        <v>25</v>
      </c>
      <c r="O298" t="s">
        <v>26</v>
      </c>
      <c r="P298" t="s">
        <v>1674</v>
      </c>
      <c r="Q298" t="s">
        <v>28</v>
      </c>
      <c r="R298" s="3">
        <v>42649.441608796296</v>
      </c>
      <c r="T298" t="s">
        <v>1299</v>
      </c>
      <c r="U298" t="str">
        <f t="shared" si="16"/>
        <v>["87f121a7-eef0-4be9-9372-a5efe5b4d375"]</v>
      </c>
      <c r="V298" t="str">
        <f t="shared" si="17"/>
        <v/>
      </c>
      <c r="W298" t="str">
        <f t="shared" si="18"/>
        <v/>
      </c>
      <c r="X298" t="str">
        <f t="shared" si="19"/>
        <v/>
      </c>
    </row>
    <row r="299" spans="1:24" ht="409.5" x14ac:dyDescent="0.25">
      <c r="A299" t="s">
        <v>1675</v>
      </c>
      <c r="B299" t="s">
        <v>1676</v>
      </c>
      <c r="C299" t="s">
        <v>1677</v>
      </c>
      <c r="F299" s="2" t="s">
        <v>1678</v>
      </c>
      <c r="L299" t="s">
        <v>24</v>
      </c>
      <c r="M299" t="s">
        <v>25</v>
      </c>
      <c r="O299" t="s">
        <v>26</v>
      </c>
      <c r="P299" t="s">
        <v>1679</v>
      </c>
      <c r="Q299" t="s">
        <v>28</v>
      </c>
      <c r="R299" s="3">
        <v>42789.416979166665</v>
      </c>
      <c r="T299" t="s">
        <v>1680</v>
      </c>
      <c r="U299" t="str">
        <f t="shared" si="16"/>
        <v>["15d6ede8-f128-4fcd-aa3a-4479e828f477"]</v>
      </c>
      <c r="V299" t="str">
        <f t="shared" si="17"/>
        <v/>
      </c>
      <c r="W299" t="str">
        <f t="shared" si="18"/>
        <v/>
      </c>
      <c r="X299" t="str">
        <f t="shared" si="19"/>
        <v/>
      </c>
    </row>
    <row r="300" spans="1:24" ht="409.5" x14ac:dyDescent="0.25">
      <c r="A300" t="s">
        <v>1681</v>
      </c>
      <c r="B300" t="s">
        <v>1682</v>
      </c>
      <c r="C300" t="s">
        <v>1683</v>
      </c>
      <c r="F300" s="2" t="s">
        <v>1684</v>
      </c>
      <c r="L300" t="s">
        <v>24</v>
      </c>
      <c r="M300" t="s">
        <v>25</v>
      </c>
      <c r="O300" t="s">
        <v>26</v>
      </c>
      <c r="P300" t="s">
        <v>1685</v>
      </c>
      <c r="Q300" t="s">
        <v>28</v>
      </c>
      <c r="R300" s="3">
        <v>42612.372974537036</v>
      </c>
      <c r="T300" t="s">
        <v>29</v>
      </c>
      <c r="U300" t="str">
        <f t="shared" si="16"/>
        <v>[]</v>
      </c>
      <c r="V300" t="str">
        <f t="shared" si="17"/>
        <v/>
      </c>
      <c r="W300" t="str">
        <f t="shared" si="18"/>
        <v/>
      </c>
      <c r="X300" t="str">
        <f t="shared" si="19"/>
        <v/>
      </c>
    </row>
    <row r="301" spans="1:24" ht="409.5" x14ac:dyDescent="0.25">
      <c r="A301" t="s">
        <v>1686</v>
      </c>
      <c r="B301" t="s">
        <v>1687</v>
      </c>
      <c r="C301" t="s">
        <v>1687</v>
      </c>
      <c r="F301" s="2" t="s">
        <v>1688</v>
      </c>
      <c r="L301" t="s">
        <v>24</v>
      </c>
      <c r="M301" t="s">
        <v>25</v>
      </c>
      <c r="O301" t="s">
        <v>26</v>
      </c>
      <c r="P301" t="s">
        <v>1689</v>
      </c>
      <c r="Q301" t="s">
        <v>28</v>
      </c>
      <c r="R301" s="3">
        <v>42662.444328703707</v>
      </c>
      <c r="T301" t="s">
        <v>1690</v>
      </c>
      <c r="U301" t="str">
        <f t="shared" si="16"/>
        <v>["28a7419c-f432-4e1a-b0a6-aa9e71968a14", "15914c77-fe9b-4853-9c74-aa64d2e79b56", "140fcf01-c278-4cea-89d4-15ad12f08af2"]</v>
      </c>
      <c r="V301" t="str">
        <f t="shared" si="17"/>
        <v/>
      </c>
      <c r="W301" t="str">
        <f t="shared" si="18"/>
        <v/>
      </c>
      <c r="X301" t="str">
        <f t="shared" si="19"/>
        <v/>
      </c>
    </row>
    <row r="302" spans="1:24" ht="409.5" x14ac:dyDescent="0.25">
      <c r="A302" t="s">
        <v>1691</v>
      </c>
      <c r="B302" t="s">
        <v>1692</v>
      </c>
      <c r="C302" t="s">
        <v>1693</v>
      </c>
      <c r="F302" s="2" t="s">
        <v>1694</v>
      </c>
      <c r="L302" t="s">
        <v>24</v>
      </c>
      <c r="M302" t="s">
        <v>25</v>
      </c>
      <c r="O302" t="s">
        <v>26</v>
      </c>
      <c r="P302" t="s">
        <v>1695</v>
      </c>
      <c r="Q302" t="s">
        <v>28</v>
      </c>
      <c r="R302" s="3">
        <v>42619.483182870368</v>
      </c>
      <c r="T302" t="s">
        <v>1696</v>
      </c>
      <c r="U302" t="str">
        <f t="shared" si="16"/>
        <v>["51bdc6dc-25ae-41de-b8f3-938f9056af62", "6d731e6e-7dcf-4bde-8061-d0e195f62f6c", "d960f393-0a19-43f7-b2f1-2a79d9fc6fdd", "b5de6975-417b-4320-afdb-eb2a9e2a1dbf", "3fefc838-791d-4dde-975b-a4131a54e7c5", "f5afc0ab-3203-4384-9d00-03fced6fe7b4"]</v>
      </c>
      <c r="V302" t="str">
        <f t="shared" si="17"/>
        <v/>
      </c>
      <c r="W302" t="str">
        <f t="shared" si="18"/>
        <v/>
      </c>
      <c r="X302" t="str">
        <f t="shared" si="19"/>
        <v/>
      </c>
    </row>
    <row r="303" spans="1:24" x14ac:dyDescent="0.25">
      <c r="A303" t="s">
        <v>1697</v>
      </c>
      <c r="B303" t="s">
        <v>1698</v>
      </c>
      <c r="C303" t="s">
        <v>1699</v>
      </c>
      <c r="F303" t="s">
        <v>1700</v>
      </c>
      <c r="L303" t="s">
        <v>24</v>
      </c>
      <c r="M303" t="s">
        <v>25</v>
      </c>
      <c r="O303" t="s">
        <v>26</v>
      </c>
      <c r="P303" t="s">
        <v>1701</v>
      </c>
      <c r="Q303" t="s">
        <v>28</v>
      </c>
      <c r="R303" s="3">
        <v>42642.349456018521</v>
      </c>
      <c r="T303" t="s">
        <v>29</v>
      </c>
      <c r="U303" t="str">
        <f t="shared" si="16"/>
        <v>[]</v>
      </c>
      <c r="V303" t="str">
        <f t="shared" si="17"/>
        <v/>
      </c>
      <c r="W303" t="str">
        <f t="shared" si="18"/>
        <v/>
      </c>
      <c r="X303" t="str">
        <f t="shared" si="19"/>
        <v/>
      </c>
    </row>
    <row r="304" spans="1:24" x14ac:dyDescent="0.25">
      <c r="A304" t="s">
        <v>1702</v>
      </c>
      <c r="B304" t="s">
        <v>1703</v>
      </c>
      <c r="C304" t="s">
        <v>1704</v>
      </c>
      <c r="F304" t="s">
        <v>1705</v>
      </c>
      <c r="L304" t="s">
        <v>24</v>
      </c>
      <c r="M304" t="s">
        <v>25</v>
      </c>
      <c r="O304" t="s">
        <v>26</v>
      </c>
      <c r="P304" t="s">
        <v>1706</v>
      </c>
      <c r="Q304" t="s">
        <v>28</v>
      </c>
      <c r="R304" s="3">
        <v>43882.367175925923</v>
      </c>
      <c r="T304" t="s">
        <v>433</v>
      </c>
      <c r="U304" t="str">
        <f t="shared" si="16"/>
        <v>["2c54f4d6-5712-4e5a-a025-b7f7a396c39b"]</v>
      </c>
      <c r="V304" t="str">
        <f t="shared" si="17"/>
        <v/>
      </c>
      <c r="W304" t="str">
        <f t="shared" si="18"/>
        <v/>
      </c>
      <c r="X304" t="str">
        <f t="shared" si="19"/>
        <v/>
      </c>
    </row>
    <row r="305" spans="1:24" x14ac:dyDescent="0.25">
      <c r="A305" t="s">
        <v>1707</v>
      </c>
      <c r="B305" t="s">
        <v>1708</v>
      </c>
      <c r="C305" t="s">
        <v>1709</v>
      </c>
      <c r="F305" t="s">
        <v>1710</v>
      </c>
      <c r="L305" t="s">
        <v>24</v>
      </c>
      <c r="M305" t="s">
        <v>25</v>
      </c>
      <c r="O305" t="s">
        <v>26</v>
      </c>
      <c r="P305" t="s">
        <v>1711</v>
      </c>
      <c r="Q305" t="s">
        <v>28</v>
      </c>
      <c r="R305" s="3">
        <v>42746.429363425923</v>
      </c>
      <c r="T305" t="s">
        <v>433</v>
      </c>
      <c r="U305" t="str">
        <f t="shared" si="16"/>
        <v>["2c54f4d6-5712-4e5a-a025-b7f7a396c39b"]</v>
      </c>
      <c r="V305" t="str">
        <f t="shared" si="17"/>
        <v/>
      </c>
      <c r="W305" t="str">
        <f t="shared" si="18"/>
        <v/>
      </c>
      <c r="X305" t="str">
        <f t="shared" si="19"/>
        <v/>
      </c>
    </row>
    <row r="306" spans="1:24" x14ac:dyDescent="0.25">
      <c r="A306" t="s">
        <v>1712</v>
      </c>
      <c r="B306" t="s">
        <v>1713</v>
      </c>
      <c r="C306" t="s">
        <v>1714</v>
      </c>
      <c r="F306" t="s">
        <v>1715</v>
      </c>
      <c r="L306" t="s">
        <v>24</v>
      </c>
      <c r="M306" t="s">
        <v>25</v>
      </c>
      <c r="O306" t="s">
        <v>26</v>
      </c>
      <c r="P306" t="s">
        <v>1716</v>
      </c>
      <c r="Q306" t="s">
        <v>28</v>
      </c>
      <c r="R306" s="3">
        <v>43196.636701388888</v>
      </c>
      <c r="T306" t="s">
        <v>1717</v>
      </c>
      <c r="U306" t="str">
        <f t="shared" si="16"/>
        <v>["3fefc838-791d-4dde-975b-a4131a54e7c5", "2c54f4d6-5712-4e5a-a025-b7f7a396c39b"]</v>
      </c>
      <c r="V306" t="str">
        <f t="shared" si="17"/>
        <v/>
      </c>
      <c r="W306" t="str">
        <f t="shared" si="18"/>
        <v/>
      </c>
      <c r="X306" t="str">
        <f t="shared" si="19"/>
        <v/>
      </c>
    </row>
    <row r="307" spans="1:24" x14ac:dyDescent="0.25">
      <c r="A307" t="s">
        <v>1718</v>
      </c>
      <c r="B307" t="s">
        <v>1719</v>
      </c>
      <c r="C307" t="s">
        <v>1720</v>
      </c>
      <c r="F307" t="s">
        <v>1721</v>
      </c>
      <c r="L307" t="s">
        <v>24</v>
      </c>
      <c r="M307" t="s">
        <v>25</v>
      </c>
      <c r="O307" t="s">
        <v>26</v>
      </c>
      <c r="P307" t="s">
        <v>1722</v>
      </c>
      <c r="Q307" t="s">
        <v>28</v>
      </c>
      <c r="R307" s="3">
        <v>43644.388194444444</v>
      </c>
      <c r="T307" t="s">
        <v>1723</v>
      </c>
      <c r="U307" t="str">
        <f t="shared" si="16"/>
        <v>["d88a1246-9684-480b-a480-ff63286b35b7", "35691b6c-9ed7-4517-b4b3-688b0569729a"]</v>
      </c>
      <c r="V307" t="str">
        <f t="shared" si="17"/>
        <v/>
      </c>
      <c r="W307" t="str">
        <f t="shared" si="18"/>
        <v/>
      </c>
      <c r="X307" t="str">
        <f t="shared" si="19"/>
        <v/>
      </c>
    </row>
    <row r="308" spans="1:24" ht="409.5" x14ac:dyDescent="0.25">
      <c r="A308" t="s">
        <v>1724</v>
      </c>
      <c r="B308" t="s">
        <v>1725</v>
      </c>
      <c r="C308" t="s">
        <v>1179</v>
      </c>
      <c r="F308" s="2" t="s">
        <v>1726</v>
      </c>
      <c r="L308" t="s">
        <v>24</v>
      </c>
      <c r="M308" t="s">
        <v>25</v>
      </c>
      <c r="O308" t="s">
        <v>26</v>
      </c>
      <c r="P308" t="s">
        <v>1727</v>
      </c>
      <c r="Q308" t="s">
        <v>28</v>
      </c>
      <c r="R308" s="3">
        <v>42982.438703703701</v>
      </c>
      <c r="T308" t="s">
        <v>1586</v>
      </c>
      <c r="U308" t="str">
        <f t="shared" si="16"/>
        <v>["6858b208-62bc-424e-9d7b-c89b74d3d3e3", "aa8876c7-9711-4969-b428-34400f2d0dbe", "6d92970a-d698-418b-8576-f3b03dc1a59a"]</v>
      </c>
      <c r="V308" t="str">
        <f t="shared" si="17"/>
        <v/>
      </c>
      <c r="W308" t="str">
        <f t="shared" si="18"/>
        <v/>
      </c>
      <c r="X308" t="str">
        <f t="shared" si="19"/>
        <v/>
      </c>
    </row>
    <row r="309" spans="1:24" x14ac:dyDescent="0.25">
      <c r="A309" t="s">
        <v>1728</v>
      </c>
      <c r="B309" t="s">
        <v>1729</v>
      </c>
      <c r="C309" t="s">
        <v>1730</v>
      </c>
      <c r="F309" t="s">
        <v>1731</v>
      </c>
      <c r="L309" t="s">
        <v>24</v>
      </c>
      <c r="M309" t="s">
        <v>25</v>
      </c>
      <c r="O309" t="s">
        <v>26</v>
      </c>
      <c r="P309" t="s">
        <v>1732</v>
      </c>
      <c r="Q309" t="s">
        <v>28</v>
      </c>
      <c r="R309" s="3">
        <v>43223.600856481484</v>
      </c>
      <c r="T309" t="s">
        <v>1733</v>
      </c>
      <c r="U309" t="str">
        <f t="shared" si="16"/>
        <v>["86d88cae-ad97-4476-bae5-73488a12776d", "d88a1246-9684-480b-a480-ff63286b35b7", "80dd5f90-8ed9-49b8-9b6e-d3c40eb46023"]</v>
      </c>
      <c r="V309" t="str">
        <f t="shared" si="17"/>
        <v/>
      </c>
      <c r="W309" t="str">
        <f t="shared" si="18"/>
        <v/>
      </c>
      <c r="X309" t="str">
        <f t="shared" si="19"/>
        <v/>
      </c>
    </row>
    <row r="310" spans="1:24" ht="300" x14ac:dyDescent="0.25">
      <c r="A310" t="s">
        <v>1734</v>
      </c>
      <c r="B310" t="s">
        <v>1735</v>
      </c>
      <c r="C310" t="s">
        <v>1736</v>
      </c>
      <c r="F310" s="2" t="s">
        <v>1737</v>
      </c>
      <c r="L310" t="s">
        <v>24</v>
      </c>
      <c r="M310" t="s">
        <v>25</v>
      </c>
      <c r="O310" t="s">
        <v>26</v>
      </c>
      <c r="P310" t="s">
        <v>1738</v>
      </c>
      <c r="Q310" t="s">
        <v>28</v>
      </c>
      <c r="R310" s="3">
        <v>43496.603310185186</v>
      </c>
      <c r="T310" t="s">
        <v>433</v>
      </c>
      <c r="U310" t="str">
        <f t="shared" si="16"/>
        <v>["2c54f4d6-5712-4e5a-a025-b7f7a396c39b"]</v>
      </c>
      <c r="V310" t="str">
        <f t="shared" si="17"/>
        <v/>
      </c>
      <c r="W310" t="str">
        <f t="shared" si="18"/>
        <v/>
      </c>
      <c r="X310" t="str">
        <f t="shared" si="19"/>
        <v/>
      </c>
    </row>
    <row r="311" spans="1:24" x14ac:dyDescent="0.25">
      <c r="A311" t="s">
        <v>1739</v>
      </c>
      <c r="B311" t="s">
        <v>1740</v>
      </c>
      <c r="C311" t="s">
        <v>1741</v>
      </c>
      <c r="F311" t="s">
        <v>1742</v>
      </c>
      <c r="L311" t="s">
        <v>24</v>
      </c>
      <c r="M311" t="s">
        <v>25</v>
      </c>
      <c r="O311" t="s">
        <v>26</v>
      </c>
      <c r="P311" t="s">
        <v>1743</v>
      </c>
      <c r="Q311" t="s">
        <v>28</v>
      </c>
      <c r="R311" s="3">
        <v>42727.378368055557</v>
      </c>
      <c r="T311" t="s">
        <v>1744</v>
      </c>
      <c r="U311" t="str">
        <f t="shared" si="16"/>
        <v>["6772e22a-a364-47df-9cf7-0590fdde1757"]</v>
      </c>
      <c r="V311" t="str">
        <f t="shared" si="17"/>
        <v/>
      </c>
      <c r="W311" t="str">
        <f t="shared" si="18"/>
        <v/>
      </c>
      <c r="X311" t="str">
        <f t="shared" si="19"/>
        <v/>
      </c>
    </row>
    <row r="312" spans="1:24" ht="409.5" x14ac:dyDescent="0.25">
      <c r="A312" t="s">
        <v>1745</v>
      </c>
      <c r="B312" t="s">
        <v>1746</v>
      </c>
      <c r="C312" t="s">
        <v>1747</v>
      </c>
      <c r="F312" s="2" t="s">
        <v>1748</v>
      </c>
      <c r="L312" t="s">
        <v>24</v>
      </c>
      <c r="M312" t="s">
        <v>25</v>
      </c>
      <c r="O312" t="s">
        <v>26</v>
      </c>
      <c r="P312" t="s">
        <v>1749</v>
      </c>
      <c r="Q312" t="s">
        <v>28</v>
      </c>
      <c r="R312" s="3">
        <v>43244.65520833333</v>
      </c>
      <c r="T312" t="s">
        <v>99</v>
      </c>
      <c r="U312" t="str">
        <f t="shared" si="16"/>
        <v>["c91a4635-8b7d-43fe-9b27-d95dec8392a7"]</v>
      </c>
      <c r="V312" t="str">
        <f t="shared" si="17"/>
        <v/>
      </c>
      <c r="W312" t="str">
        <f t="shared" si="18"/>
        <v/>
      </c>
      <c r="X312" t="str">
        <f t="shared" si="19"/>
        <v/>
      </c>
    </row>
    <row r="313" spans="1:24" x14ac:dyDescent="0.25">
      <c r="A313" t="s">
        <v>1750</v>
      </c>
      <c r="B313" t="s">
        <v>1751</v>
      </c>
      <c r="C313" t="s">
        <v>1752</v>
      </c>
      <c r="F313" t="s">
        <v>1753</v>
      </c>
      <c r="L313" t="s">
        <v>24</v>
      </c>
      <c r="M313" t="s">
        <v>25</v>
      </c>
      <c r="O313" t="s">
        <v>26</v>
      </c>
      <c r="P313" t="s">
        <v>1754</v>
      </c>
      <c r="Q313" t="s">
        <v>28</v>
      </c>
      <c r="R313" s="3">
        <v>42696.631932870368</v>
      </c>
      <c r="T313" t="s">
        <v>170</v>
      </c>
      <c r="U313" t="str">
        <f t="shared" si="16"/>
        <v>["6858b208-62bc-424e-9d7b-c89b74d3d3e3", "aa8876c7-9711-4969-b428-34400f2d0dbe"]</v>
      </c>
      <c r="V313" t="str">
        <f t="shared" si="17"/>
        <v/>
      </c>
      <c r="W313" t="str">
        <f t="shared" si="18"/>
        <v/>
      </c>
      <c r="X313" t="str">
        <f t="shared" si="19"/>
        <v/>
      </c>
    </row>
    <row r="314" spans="1:24" x14ac:dyDescent="0.25">
      <c r="A314" t="s">
        <v>1755</v>
      </c>
      <c r="B314" t="s">
        <v>1756</v>
      </c>
      <c r="C314" t="s">
        <v>1757</v>
      </c>
      <c r="F314" t="s">
        <v>1758</v>
      </c>
      <c r="L314" t="s">
        <v>24</v>
      </c>
      <c r="M314" t="s">
        <v>25</v>
      </c>
      <c r="O314" t="s">
        <v>26</v>
      </c>
      <c r="P314" t="s">
        <v>1759</v>
      </c>
      <c r="Q314" t="s">
        <v>28</v>
      </c>
      <c r="R314" s="3">
        <v>42446.08730324074</v>
      </c>
      <c r="T314" t="s">
        <v>1760</v>
      </c>
      <c r="U314" t="str">
        <f t="shared" si="16"/>
        <v>["a0279fdf-230e-493d-bd50-3865ad29f825", "87282445-a02d-4f7f-9bf6-196d73d9b3a9"]</v>
      </c>
      <c r="V314" t="str">
        <f t="shared" si="17"/>
        <v/>
      </c>
      <c r="W314" t="str">
        <f t="shared" si="18"/>
        <v/>
      </c>
      <c r="X314" t="str">
        <f t="shared" si="19"/>
        <v/>
      </c>
    </row>
    <row r="315" spans="1:24" ht="409.5" x14ac:dyDescent="0.25">
      <c r="A315" t="s">
        <v>1761</v>
      </c>
      <c r="B315" t="s">
        <v>1762</v>
      </c>
      <c r="C315" t="s">
        <v>1763</v>
      </c>
      <c r="F315" s="2" t="s">
        <v>1764</v>
      </c>
      <c r="L315" t="s">
        <v>24</v>
      </c>
      <c r="M315" t="s">
        <v>25</v>
      </c>
      <c r="O315" t="s">
        <v>26</v>
      </c>
      <c r="P315" t="s">
        <v>1765</v>
      </c>
      <c r="Q315" t="s">
        <v>28</v>
      </c>
      <c r="R315" s="3">
        <v>42751.420057870368</v>
      </c>
      <c r="T315" t="s">
        <v>1766</v>
      </c>
      <c r="U315" t="str">
        <f t="shared" si="16"/>
        <v>["c91a4635-8b7d-43fe-9b27-d95dec8392a7", "2c54f4d6-5712-4e5a-a025-b7f7a396c39b", "45a55c97-2122-42a6-823d-f374f1a8bd48"]</v>
      </c>
      <c r="V315" t="str">
        <f t="shared" si="17"/>
        <v/>
      </c>
      <c r="W315" t="str">
        <f t="shared" si="18"/>
        <v/>
      </c>
      <c r="X315" t="str">
        <f t="shared" si="19"/>
        <v/>
      </c>
    </row>
    <row r="316" spans="1:24" x14ac:dyDescent="0.25">
      <c r="A316" t="s">
        <v>1767</v>
      </c>
      <c r="B316" t="s">
        <v>1768</v>
      </c>
      <c r="C316" t="s">
        <v>1769</v>
      </c>
      <c r="F316" t="s">
        <v>1770</v>
      </c>
      <c r="L316" t="s">
        <v>24</v>
      </c>
      <c r="M316" t="s">
        <v>25</v>
      </c>
      <c r="O316" t="s">
        <v>26</v>
      </c>
      <c r="P316" t="s">
        <v>1771</v>
      </c>
      <c r="Q316" t="s">
        <v>28</v>
      </c>
      <c r="R316" s="3">
        <v>42776.463321759256</v>
      </c>
      <c r="T316" t="s">
        <v>1680</v>
      </c>
      <c r="U316" t="str">
        <f t="shared" si="16"/>
        <v>["15d6ede8-f128-4fcd-aa3a-4479e828f477"]</v>
      </c>
      <c r="V316" t="str">
        <f t="shared" si="17"/>
        <v/>
      </c>
      <c r="W316" t="str">
        <f t="shared" si="18"/>
        <v/>
      </c>
      <c r="X316" t="str">
        <f t="shared" si="19"/>
        <v/>
      </c>
    </row>
    <row r="317" spans="1:24" ht="409.5" x14ac:dyDescent="0.25">
      <c r="A317" t="s">
        <v>1772</v>
      </c>
      <c r="B317" t="s">
        <v>1773</v>
      </c>
      <c r="C317" t="s">
        <v>1774</v>
      </c>
      <c r="F317" s="2" t="s">
        <v>1775</v>
      </c>
      <c r="L317" t="s">
        <v>24</v>
      </c>
      <c r="M317" t="s">
        <v>25</v>
      </c>
      <c r="O317" t="s">
        <v>26</v>
      </c>
      <c r="P317" t="s">
        <v>1776</v>
      </c>
      <c r="Q317" t="s">
        <v>28</v>
      </c>
      <c r="R317" s="3">
        <v>42747.07240740741</v>
      </c>
      <c r="T317" t="s">
        <v>1150</v>
      </c>
      <c r="U317" t="str">
        <f t="shared" si="16"/>
        <v>["1f4a62eb-6f1a-4bfe-b7cd-e6dede0be00a"]</v>
      </c>
      <c r="V317" t="str">
        <f t="shared" si="17"/>
        <v/>
      </c>
      <c r="W317" t="str">
        <f t="shared" si="18"/>
        <v/>
      </c>
      <c r="X317" t="str">
        <f t="shared" si="19"/>
        <v/>
      </c>
    </row>
    <row r="318" spans="1:24" x14ac:dyDescent="0.25">
      <c r="A318" t="s">
        <v>1777</v>
      </c>
      <c r="B318" t="s">
        <v>1778</v>
      </c>
      <c r="C318" t="s">
        <v>1779</v>
      </c>
      <c r="F318" t="s">
        <v>1780</v>
      </c>
      <c r="L318" t="s">
        <v>24</v>
      </c>
      <c r="M318" t="s">
        <v>25</v>
      </c>
      <c r="O318" t="s">
        <v>26</v>
      </c>
      <c r="P318" t="s">
        <v>1781</v>
      </c>
      <c r="Q318" t="s">
        <v>28</v>
      </c>
      <c r="R318" s="3">
        <v>42843.458518518521</v>
      </c>
      <c r="T318" t="s">
        <v>29</v>
      </c>
      <c r="U318" t="str">
        <f t="shared" si="16"/>
        <v>[]</v>
      </c>
      <c r="V318" t="str">
        <f t="shared" si="17"/>
        <v/>
      </c>
      <c r="W318" t="str">
        <f t="shared" si="18"/>
        <v/>
      </c>
      <c r="X318" t="str">
        <f t="shared" si="19"/>
        <v/>
      </c>
    </row>
    <row r="319" spans="1:24" x14ac:dyDescent="0.25">
      <c r="A319" t="s">
        <v>1782</v>
      </c>
      <c r="B319" t="s">
        <v>1783</v>
      </c>
      <c r="C319" t="s">
        <v>1784</v>
      </c>
      <c r="F319" t="s">
        <v>1785</v>
      </c>
      <c r="L319" t="s">
        <v>24</v>
      </c>
      <c r="M319" t="s">
        <v>25</v>
      </c>
      <c r="O319" t="s">
        <v>26</v>
      </c>
      <c r="P319" t="s">
        <v>1786</v>
      </c>
      <c r="Q319" t="s">
        <v>28</v>
      </c>
      <c r="R319" s="3">
        <v>42780.442442129628</v>
      </c>
      <c r="T319" t="s">
        <v>1787</v>
      </c>
      <c r="U319" t="str">
        <f t="shared" si="16"/>
        <v>["35691b6c-9ed7-4517-b4b3-688b0569729a", "0454f5f3-1d8c-464e-847d-541901eb021a", "a0535d6d-4c34-4524-9591-e9e51e3d28c4", "2c54f4d6-5712-4e5a-a025-b7f7a396c39b"]</v>
      </c>
      <c r="V319" t="str">
        <f t="shared" si="17"/>
        <v/>
      </c>
      <c r="W319" t="str">
        <f t="shared" si="18"/>
        <v/>
      </c>
      <c r="X319" t="str">
        <f t="shared" si="19"/>
        <v/>
      </c>
    </row>
    <row r="320" spans="1:24" ht="409.5" x14ac:dyDescent="0.25">
      <c r="A320" t="s">
        <v>1788</v>
      </c>
      <c r="B320" t="s">
        <v>1789</v>
      </c>
      <c r="C320" t="s">
        <v>1790</v>
      </c>
      <c r="F320" s="2" t="s">
        <v>1791</v>
      </c>
      <c r="L320" t="s">
        <v>24</v>
      </c>
      <c r="M320" t="s">
        <v>25</v>
      </c>
      <c r="O320" t="s">
        <v>26</v>
      </c>
      <c r="P320" t="s">
        <v>1792</v>
      </c>
      <c r="Q320" t="s">
        <v>28</v>
      </c>
      <c r="R320" s="3">
        <v>42779.048645833333</v>
      </c>
      <c r="T320" t="s">
        <v>1150</v>
      </c>
      <c r="U320" t="str">
        <f t="shared" si="16"/>
        <v>["1f4a62eb-6f1a-4bfe-b7cd-e6dede0be00a"]</v>
      </c>
      <c r="V320" t="str">
        <f t="shared" si="17"/>
        <v/>
      </c>
      <c r="W320" t="str">
        <f t="shared" si="18"/>
        <v/>
      </c>
      <c r="X320" t="str">
        <f t="shared" si="19"/>
        <v/>
      </c>
    </row>
    <row r="321" spans="1:24" ht="409.5" x14ac:dyDescent="0.25">
      <c r="A321" t="s">
        <v>1793</v>
      </c>
      <c r="B321" t="s">
        <v>1794</v>
      </c>
      <c r="C321" t="s">
        <v>1795</v>
      </c>
      <c r="F321" s="2" t="s">
        <v>1796</v>
      </c>
      <c r="L321" t="s">
        <v>24</v>
      </c>
      <c r="M321" t="s">
        <v>25</v>
      </c>
      <c r="O321" t="s">
        <v>26</v>
      </c>
      <c r="P321" t="s">
        <v>1797</v>
      </c>
      <c r="Q321" t="s">
        <v>28</v>
      </c>
      <c r="R321" s="3">
        <v>42786.418645833335</v>
      </c>
      <c r="T321" t="s">
        <v>1798</v>
      </c>
      <c r="U321" t="str">
        <f t="shared" si="16"/>
        <v>["c223b93a-2634-4f06-ac73-8709b9e16888", "2c54f4d6-5712-4e5a-a025-b7f7a396c39b"]</v>
      </c>
      <c r="V321" t="str">
        <f t="shared" si="17"/>
        <v/>
      </c>
      <c r="W321" t="str">
        <f t="shared" si="18"/>
        <v/>
      </c>
      <c r="X321" t="str">
        <f t="shared" si="19"/>
        <v/>
      </c>
    </row>
    <row r="322" spans="1:24" x14ac:dyDescent="0.25">
      <c r="A322" t="s">
        <v>1799</v>
      </c>
      <c r="B322" t="s">
        <v>1800</v>
      </c>
      <c r="C322" t="s">
        <v>1801</v>
      </c>
      <c r="F322" t="s">
        <v>1802</v>
      </c>
      <c r="L322" t="s">
        <v>24</v>
      </c>
      <c r="M322" t="s">
        <v>25</v>
      </c>
      <c r="O322" t="s">
        <v>26</v>
      </c>
      <c r="P322" t="s">
        <v>1803</v>
      </c>
      <c r="Q322" t="s">
        <v>28</v>
      </c>
      <c r="R322" s="3">
        <v>43250.319814814815</v>
      </c>
      <c r="T322" t="s">
        <v>674</v>
      </c>
      <c r="U322" t="str">
        <f t="shared" si="16"/>
        <v>["522d3045-0b37-48d0-b868-57c99726b1c4"]</v>
      </c>
      <c r="V322" t="str">
        <f t="shared" si="17"/>
        <v/>
      </c>
      <c r="W322" t="str">
        <f t="shared" si="18"/>
        <v/>
      </c>
      <c r="X322" t="str">
        <f t="shared" si="19"/>
        <v/>
      </c>
    </row>
    <row r="323" spans="1:24" ht="409.5" x14ac:dyDescent="0.25">
      <c r="A323" t="s">
        <v>1804</v>
      </c>
      <c r="B323" t="s">
        <v>1805</v>
      </c>
      <c r="C323" t="s">
        <v>1806</v>
      </c>
      <c r="F323" s="2" t="s">
        <v>1807</v>
      </c>
      <c r="L323" t="s">
        <v>24</v>
      </c>
      <c r="M323" t="s">
        <v>25</v>
      </c>
      <c r="O323" t="s">
        <v>26</v>
      </c>
      <c r="P323" t="s">
        <v>1808</v>
      </c>
      <c r="Q323" t="s">
        <v>28</v>
      </c>
      <c r="R323" s="3">
        <v>42976.458761574075</v>
      </c>
      <c r="T323" t="s">
        <v>1809</v>
      </c>
      <c r="U323" t="str">
        <f t="shared" ref="U323:U386" si="20">LEFT(T323, 1024)</f>
        <v>["82d985c7-245f-4fd7-810f-b961edbc51cd", "b6385a14-b39c-4a00-a262-a8c2308759a6"]</v>
      </c>
      <c r="V323" t="str">
        <f t="shared" ref="V323:V386" si="21">MID(T323, 1025, 1024)</f>
        <v/>
      </c>
      <c r="W323" t="str">
        <f t="shared" ref="W323:W386" si="22">MID(T323, 2049, 1024)</f>
        <v/>
      </c>
      <c r="X323" t="str">
        <f t="shared" ref="X323:X386" si="23">MID(T323, 3073, 1024)</f>
        <v/>
      </c>
    </row>
    <row r="324" spans="1:24" x14ac:dyDescent="0.25">
      <c r="A324" t="s">
        <v>1810</v>
      </c>
      <c r="B324" t="s">
        <v>1811</v>
      </c>
      <c r="C324" t="s">
        <v>1812</v>
      </c>
      <c r="L324" t="s">
        <v>24</v>
      </c>
      <c r="M324" t="s">
        <v>25</v>
      </c>
      <c r="O324" t="s">
        <v>26</v>
      </c>
      <c r="P324" t="s">
        <v>1813</v>
      </c>
      <c r="Q324" t="s">
        <v>28</v>
      </c>
      <c r="R324" s="3">
        <v>42920.648553240739</v>
      </c>
      <c r="T324" t="s">
        <v>1814</v>
      </c>
      <c r="U324" t="str">
        <f t="shared" si="20"/>
        <v>["522d3045-0b37-48d0-b868-57c99726b1c4", "21fca925-12ac-4215-ba1a-a9c73cb3b082"]</v>
      </c>
      <c r="V324" t="str">
        <f t="shared" si="21"/>
        <v/>
      </c>
      <c r="W324" t="str">
        <f t="shared" si="22"/>
        <v/>
      </c>
      <c r="X324" t="str">
        <f t="shared" si="23"/>
        <v/>
      </c>
    </row>
    <row r="325" spans="1:24" x14ac:dyDescent="0.25">
      <c r="A325" t="s">
        <v>1815</v>
      </c>
      <c r="B325" t="s">
        <v>1816</v>
      </c>
      <c r="C325" t="s">
        <v>1817</v>
      </c>
      <c r="F325" t="s">
        <v>1818</v>
      </c>
      <c r="L325" t="s">
        <v>24</v>
      </c>
      <c r="M325" t="s">
        <v>25</v>
      </c>
      <c r="O325" t="s">
        <v>26</v>
      </c>
      <c r="P325" t="s">
        <v>1819</v>
      </c>
      <c r="Q325" t="s">
        <v>28</v>
      </c>
      <c r="R325" s="3">
        <v>42871.422337962962</v>
      </c>
      <c r="T325" t="s">
        <v>1820</v>
      </c>
      <c r="U325" t="str">
        <f t="shared" si="20"/>
        <v>["2c54f4d6-5712-4e5a-a025-b7f7a396c39b", "c223b93a-2634-4f06-ac73-8709b9e16888"]</v>
      </c>
      <c r="V325" t="str">
        <f t="shared" si="21"/>
        <v/>
      </c>
      <c r="W325" t="str">
        <f t="shared" si="22"/>
        <v/>
      </c>
      <c r="X325" t="str">
        <f t="shared" si="23"/>
        <v/>
      </c>
    </row>
    <row r="326" spans="1:24" x14ac:dyDescent="0.25">
      <c r="A326" t="s">
        <v>1821</v>
      </c>
      <c r="B326" t="s">
        <v>1822</v>
      </c>
      <c r="C326" t="s">
        <v>1823</v>
      </c>
      <c r="F326" t="s">
        <v>1824</v>
      </c>
      <c r="L326" t="s">
        <v>24</v>
      </c>
      <c r="M326" t="s">
        <v>25</v>
      </c>
      <c r="O326" t="s">
        <v>26</v>
      </c>
      <c r="P326" t="s">
        <v>1825</v>
      </c>
      <c r="Q326" t="s">
        <v>28</v>
      </c>
      <c r="R326" s="3">
        <v>42985.365023148152</v>
      </c>
      <c r="T326" t="s">
        <v>1826</v>
      </c>
      <c r="U326" t="str">
        <f t="shared" si="20"/>
        <v>["2c54f4d6-5712-4e5a-a025-b7f7a396c39b", "1d5c2411-9719-4c8f-b99d-57a5f4a4ae41"]</v>
      </c>
      <c r="V326" t="str">
        <f t="shared" si="21"/>
        <v/>
      </c>
      <c r="W326" t="str">
        <f t="shared" si="22"/>
        <v/>
      </c>
      <c r="X326" t="str">
        <f t="shared" si="23"/>
        <v/>
      </c>
    </row>
    <row r="327" spans="1:24" ht="409.5" x14ac:dyDescent="0.25">
      <c r="A327" t="s">
        <v>1827</v>
      </c>
      <c r="B327" t="s">
        <v>1828</v>
      </c>
      <c r="C327" t="s">
        <v>1829</v>
      </c>
      <c r="F327" s="2" t="s">
        <v>1830</v>
      </c>
      <c r="L327" t="s">
        <v>24</v>
      </c>
      <c r="M327" t="s">
        <v>25</v>
      </c>
      <c r="O327" t="s">
        <v>26</v>
      </c>
      <c r="P327" t="s">
        <v>1831</v>
      </c>
      <c r="Q327" t="s">
        <v>28</v>
      </c>
      <c r="R327" s="3">
        <v>42793.623761574076</v>
      </c>
      <c r="T327" t="s">
        <v>433</v>
      </c>
      <c r="U327" t="str">
        <f t="shared" si="20"/>
        <v>["2c54f4d6-5712-4e5a-a025-b7f7a396c39b"]</v>
      </c>
      <c r="V327" t="str">
        <f t="shared" si="21"/>
        <v/>
      </c>
      <c r="W327" t="str">
        <f t="shared" si="22"/>
        <v/>
      </c>
      <c r="X327" t="str">
        <f t="shared" si="23"/>
        <v/>
      </c>
    </row>
    <row r="328" spans="1:24" x14ac:dyDescent="0.25">
      <c r="A328" t="s">
        <v>1832</v>
      </c>
      <c r="B328" t="s">
        <v>1833</v>
      </c>
      <c r="C328" t="s">
        <v>1834</v>
      </c>
      <c r="F328" t="s">
        <v>1835</v>
      </c>
      <c r="L328" t="s">
        <v>24</v>
      </c>
      <c r="M328" t="s">
        <v>25</v>
      </c>
      <c r="O328" t="s">
        <v>26</v>
      </c>
      <c r="P328" t="s">
        <v>1836</v>
      </c>
      <c r="Q328" t="s">
        <v>28</v>
      </c>
      <c r="R328" s="3">
        <v>42979.394189814811</v>
      </c>
      <c r="T328" t="s">
        <v>1527</v>
      </c>
      <c r="U328" t="str">
        <f t="shared" si="20"/>
        <v>["ab4a73b6-1c2d-42e1-b4d9-049e04889cf0"]</v>
      </c>
      <c r="V328" t="str">
        <f t="shared" si="21"/>
        <v/>
      </c>
      <c r="W328" t="str">
        <f t="shared" si="22"/>
        <v/>
      </c>
      <c r="X328" t="str">
        <f t="shared" si="23"/>
        <v/>
      </c>
    </row>
    <row r="329" spans="1:24" x14ac:dyDescent="0.25">
      <c r="A329" t="s">
        <v>1837</v>
      </c>
      <c r="B329" t="s">
        <v>1838</v>
      </c>
      <c r="C329" t="s">
        <v>1839</v>
      </c>
      <c r="F329" t="s">
        <v>1840</v>
      </c>
      <c r="L329" t="s">
        <v>24</v>
      </c>
      <c r="M329" t="s">
        <v>25</v>
      </c>
      <c r="O329" t="s">
        <v>26</v>
      </c>
      <c r="P329" t="s">
        <v>1841</v>
      </c>
      <c r="Q329" t="s">
        <v>28</v>
      </c>
      <c r="R329" s="3">
        <v>43438.487395833334</v>
      </c>
      <c r="T329" t="s">
        <v>29</v>
      </c>
      <c r="U329" t="str">
        <f t="shared" si="20"/>
        <v>[]</v>
      </c>
      <c r="V329" t="str">
        <f t="shared" si="21"/>
        <v/>
      </c>
      <c r="W329" t="str">
        <f t="shared" si="22"/>
        <v/>
      </c>
      <c r="X329" t="str">
        <f t="shared" si="23"/>
        <v/>
      </c>
    </row>
    <row r="330" spans="1:24" x14ac:dyDescent="0.25">
      <c r="A330" t="s">
        <v>1842</v>
      </c>
      <c r="B330" t="s">
        <v>1843</v>
      </c>
      <c r="C330" t="s">
        <v>1844</v>
      </c>
      <c r="F330" t="s">
        <v>1845</v>
      </c>
      <c r="L330" t="s">
        <v>24</v>
      </c>
      <c r="M330" t="s">
        <v>25</v>
      </c>
      <c r="O330" t="s">
        <v>26</v>
      </c>
      <c r="P330" t="s">
        <v>1846</v>
      </c>
      <c r="Q330" t="s">
        <v>28</v>
      </c>
      <c r="R330" s="3">
        <v>42976.548472222225</v>
      </c>
      <c r="T330" t="s">
        <v>1334</v>
      </c>
      <c r="U330" t="str">
        <f t="shared" si="20"/>
        <v>["2a0cb127-ea73-4cbd-a73f-e7d69d6fba5d"]</v>
      </c>
      <c r="V330" t="str">
        <f t="shared" si="21"/>
        <v/>
      </c>
      <c r="W330" t="str">
        <f t="shared" si="22"/>
        <v/>
      </c>
      <c r="X330" t="str">
        <f t="shared" si="23"/>
        <v/>
      </c>
    </row>
    <row r="331" spans="1:24" ht="409.5" x14ac:dyDescent="0.25">
      <c r="A331" t="s">
        <v>1847</v>
      </c>
      <c r="B331" t="s">
        <v>1848</v>
      </c>
      <c r="C331" t="s">
        <v>1849</v>
      </c>
      <c r="F331" s="2" t="s">
        <v>1850</v>
      </c>
      <c r="L331" t="s">
        <v>24</v>
      </c>
      <c r="M331" t="s">
        <v>25</v>
      </c>
      <c r="O331" t="s">
        <v>26</v>
      </c>
      <c r="P331" t="s">
        <v>1851</v>
      </c>
      <c r="Q331" t="s">
        <v>28</v>
      </c>
      <c r="R331" s="3">
        <v>42793.629699074074</v>
      </c>
      <c r="T331" t="s">
        <v>1852</v>
      </c>
      <c r="U331" t="str">
        <f t="shared" si="20"/>
        <v>["20019419-56a5-42c2-b76c-0460e58e775f"]</v>
      </c>
      <c r="V331" t="str">
        <f t="shared" si="21"/>
        <v/>
      </c>
      <c r="W331" t="str">
        <f t="shared" si="22"/>
        <v/>
      </c>
      <c r="X331" t="str">
        <f t="shared" si="23"/>
        <v/>
      </c>
    </row>
    <row r="332" spans="1:24" x14ac:dyDescent="0.25">
      <c r="A332" t="s">
        <v>1853</v>
      </c>
      <c r="B332" t="s">
        <v>1854</v>
      </c>
      <c r="C332" t="s">
        <v>1855</v>
      </c>
      <c r="F332" t="s">
        <v>1856</v>
      </c>
      <c r="L332" t="s">
        <v>24</v>
      </c>
      <c r="M332" t="s">
        <v>25</v>
      </c>
      <c r="O332" t="s">
        <v>26</v>
      </c>
      <c r="P332" t="s">
        <v>1857</v>
      </c>
      <c r="Q332" t="s">
        <v>28</v>
      </c>
      <c r="R332" s="3">
        <v>42865.391319444447</v>
      </c>
      <c r="T332" t="s">
        <v>123</v>
      </c>
      <c r="U332" t="str">
        <f t="shared" si="20"/>
        <v>["523ba2e4-8c55-4dde-8acf-39e3621811b0"]</v>
      </c>
      <c r="V332" t="str">
        <f t="shared" si="21"/>
        <v/>
      </c>
      <c r="W332" t="str">
        <f t="shared" si="22"/>
        <v/>
      </c>
      <c r="X332" t="str">
        <f t="shared" si="23"/>
        <v/>
      </c>
    </row>
    <row r="333" spans="1:24" x14ac:dyDescent="0.25">
      <c r="A333" t="s">
        <v>1858</v>
      </c>
      <c r="B333" t="s">
        <v>1859</v>
      </c>
      <c r="C333" t="s">
        <v>1860</v>
      </c>
      <c r="F333" t="s">
        <v>1861</v>
      </c>
      <c r="L333" t="s">
        <v>24</v>
      </c>
      <c r="M333" t="s">
        <v>25</v>
      </c>
      <c r="O333" t="s">
        <v>26</v>
      </c>
      <c r="P333" t="s">
        <v>1862</v>
      </c>
      <c r="Q333" t="s">
        <v>28</v>
      </c>
      <c r="R333" s="3">
        <v>43620.361608796295</v>
      </c>
      <c r="T333" t="s">
        <v>1863</v>
      </c>
      <c r="U333" t="str">
        <f t="shared" si="20"/>
        <v>["c1ba372b-dba2-4bce-b72e-b5c832eaaf44", "354f9aa0-2f0a-4cdf-9b60-d023da93cc76", "9b40a0af-a6fe-47ff-9624-2ea8f40c746f", "f1f6f15d-2faa-4b62-b78b-80599dd1c66e", "36a8b9e9-909e-4605-a7ba-686ee3e1b8bf", "2ee6b8bf-6292-413c-bb8b-bd22dbb2ad4b"]</v>
      </c>
      <c r="V333" t="str">
        <f t="shared" si="21"/>
        <v/>
      </c>
      <c r="W333" t="str">
        <f t="shared" si="22"/>
        <v/>
      </c>
      <c r="X333" t="str">
        <f t="shared" si="23"/>
        <v/>
      </c>
    </row>
    <row r="334" spans="1:24" x14ac:dyDescent="0.25">
      <c r="A334" t="s">
        <v>1864</v>
      </c>
      <c r="B334" t="s">
        <v>1865</v>
      </c>
      <c r="C334" t="s">
        <v>1866</v>
      </c>
      <c r="F334" t="s">
        <v>1867</v>
      </c>
      <c r="L334" t="s">
        <v>24</v>
      </c>
      <c r="M334" t="s">
        <v>25</v>
      </c>
      <c r="O334" t="s">
        <v>26</v>
      </c>
      <c r="P334" t="s">
        <v>1868</v>
      </c>
      <c r="Q334" t="s">
        <v>28</v>
      </c>
      <c r="R334" s="3">
        <v>41190.526886574073</v>
      </c>
      <c r="T334" t="s">
        <v>41</v>
      </c>
      <c r="U334" t="str">
        <f t="shared" si="20"/>
        <v>["b2068d46-de7f-4a22-a563-4dea59b1e6f2"]</v>
      </c>
      <c r="V334" t="str">
        <f t="shared" si="21"/>
        <v/>
      </c>
      <c r="W334" t="str">
        <f t="shared" si="22"/>
        <v/>
      </c>
      <c r="X334" t="str">
        <f t="shared" si="23"/>
        <v/>
      </c>
    </row>
    <row r="335" spans="1:24" ht="409.5" x14ac:dyDescent="0.25">
      <c r="A335" t="s">
        <v>1869</v>
      </c>
      <c r="B335" t="s">
        <v>1870</v>
      </c>
      <c r="C335" t="s">
        <v>1871</v>
      </c>
      <c r="F335" s="2" t="s">
        <v>1872</v>
      </c>
      <c r="L335" t="s">
        <v>24</v>
      </c>
      <c r="M335" t="s">
        <v>25</v>
      </c>
      <c r="O335" t="s">
        <v>26</v>
      </c>
      <c r="P335" t="s">
        <v>1873</v>
      </c>
      <c r="Q335" t="s">
        <v>28</v>
      </c>
      <c r="R335" s="3">
        <v>43594.44872685185</v>
      </c>
      <c r="T335" t="s">
        <v>1874</v>
      </c>
      <c r="U335" t="str">
        <f t="shared" si="20"/>
        <v>["945A3F8F-90E5-4761-9C6E-92F7391CC93A", "2c54f4d6-5712-4e5a-a025-b7f7a396c39b", "51bdc6dc-25ae-41de-b8f3-938f9056af62"]</v>
      </c>
      <c r="V335" t="str">
        <f t="shared" si="21"/>
        <v/>
      </c>
      <c r="W335" t="str">
        <f t="shared" si="22"/>
        <v/>
      </c>
      <c r="X335" t="str">
        <f t="shared" si="23"/>
        <v/>
      </c>
    </row>
    <row r="336" spans="1:24" ht="409.5" x14ac:dyDescent="0.25">
      <c r="A336" t="s">
        <v>1875</v>
      </c>
      <c r="B336" t="s">
        <v>1876</v>
      </c>
      <c r="C336" t="s">
        <v>1876</v>
      </c>
      <c r="F336" s="2" t="s">
        <v>1877</v>
      </c>
      <c r="L336" t="s">
        <v>24</v>
      </c>
      <c r="M336" t="s">
        <v>25</v>
      </c>
      <c r="O336" t="s">
        <v>26</v>
      </c>
      <c r="P336" t="s">
        <v>1878</v>
      </c>
      <c r="Q336" t="s">
        <v>28</v>
      </c>
      <c r="R336" s="3">
        <v>43896.364999999998</v>
      </c>
      <c r="T336" t="s">
        <v>1879</v>
      </c>
      <c r="U336" t="str">
        <f t="shared" si="20"/>
        <v>["b694010f-992a-4d8e-b4ab-b20d0f037ff0"]</v>
      </c>
      <c r="V336" t="str">
        <f t="shared" si="21"/>
        <v/>
      </c>
      <c r="W336" t="str">
        <f t="shared" si="22"/>
        <v/>
      </c>
      <c r="X336" t="str">
        <f t="shared" si="23"/>
        <v/>
      </c>
    </row>
    <row r="337" spans="1:24" ht="409.5" x14ac:dyDescent="0.25">
      <c r="A337" t="s">
        <v>1880</v>
      </c>
      <c r="B337" t="s">
        <v>1881</v>
      </c>
      <c r="C337" t="s">
        <v>1882</v>
      </c>
      <c r="F337" s="2" t="s">
        <v>1883</v>
      </c>
      <c r="L337" t="s">
        <v>24</v>
      </c>
      <c r="M337" t="s">
        <v>25</v>
      </c>
      <c r="O337" t="s">
        <v>26</v>
      </c>
      <c r="P337" t="s">
        <v>1884</v>
      </c>
      <c r="Q337" t="s">
        <v>28</v>
      </c>
      <c r="R337" s="3">
        <v>42794.409270833334</v>
      </c>
      <c r="T337" t="s">
        <v>613</v>
      </c>
      <c r="U337" t="str">
        <f t="shared" si="20"/>
        <v>["bd8b518b-d812-46f9-b367-4c1b660cfc99"]</v>
      </c>
      <c r="V337" t="str">
        <f t="shared" si="21"/>
        <v/>
      </c>
      <c r="W337" t="str">
        <f t="shared" si="22"/>
        <v/>
      </c>
      <c r="X337" t="str">
        <f t="shared" si="23"/>
        <v/>
      </c>
    </row>
    <row r="338" spans="1:24" x14ac:dyDescent="0.25">
      <c r="A338" t="s">
        <v>1885</v>
      </c>
      <c r="B338" t="s">
        <v>1886</v>
      </c>
      <c r="C338" t="s">
        <v>1887</v>
      </c>
      <c r="F338" t="s">
        <v>1888</v>
      </c>
      <c r="L338" t="s">
        <v>24</v>
      </c>
      <c r="M338" t="s">
        <v>25</v>
      </c>
      <c r="O338" t="s">
        <v>26</v>
      </c>
      <c r="P338" t="s">
        <v>1889</v>
      </c>
      <c r="Q338" t="s">
        <v>28</v>
      </c>
      <c r="R338" s="3">
        <v>43075.700358796297</v>
      </c>
      <c r="T338" t="s">
        <v>1890</v>
      </c>
      <c r="U338" t="str">
        <f t="shared" si="20"/>
        <v>["7cf0da04-1f77-4321-929e-78172c74aa0b", "38aac30b-6b79-4fee-88f0-a37b2e6c0f92"]</v>
      </c>
      <c r="V338" t="str">
        <f t="shared" si="21"/>
        <v/>
      </c>
      <c r="W338" t="str">
        <f t="shared" si="22"/>
        <v/>
      </c>
      <c r="X338" t="str">
        <f t="shared" si="23"/>
        <v/>
      </c>
    </row>
    <row r="339" spans="1:24" ht="409.5" x14ac:dyDescent="0.25">
      <c r="A339" t="s">
        <v>1891</v>
      </c>
      <c r="B339" t="s">
        <v>1892</v>
      </c>
      <c r="C339" t="s">
        <v>1893</v>
      </c>
      <c r="F339" s="2" t="s">
        <v>1894</v>
      </c>
      <c r="L339" t="s">
        <v>24</v>
      </c>
      <c r="M339" t="s">
        <v>25</v>
      </c>
      <c r="O339" t="s">
        <v>26</v>
      </c>
      <c r="P339" t="s">
        <v>1895</v>
      </c>
      <c r="Q339" t="s">
        <v>28</v>
      </c>
      <c r="R339" s="3">
        <v>41717.417395833334</v>
      </c>
      <c r="T339" t="s">
        <v>1896</v>
      </c>
      <c r="U339" t="str">
        <f t="shared" si="20"/>
        <v>["4111e2d8-1729-4953-899a-c55bc382857e", "c223b93a-2634-4f06-ac73-8709b9e16888"]</v>
      </c>
      <c r="V339" t="str">
        <f t="shared" si="21"/>
        <v/>
      </c>
      <c r="W339" t="str">
        <f t="shared" si="22"/>
        <v/>
      </c>
      <c r="X339" t="str">
        <f t="shared" si="23"/>
        <v/>
      </c>
    </row>
    <row r="340" spans="1:24" ht="409.5" x14ac:dyDescent="0.25">
      <c r="A340" t="s">
        <v>1897</v>
      </c>
      <c r="B340" t="s">
        <v>1898</v>
      </c>
      <c r="C340" t="s">
        <v>1899</v>
      </c>
      <c r="F340" s="2" t="s">
        <v>1900</v>
      </c>
      <c r="L340" t="s">
        <v>24</v>
      </c>
      <c r="M340" t="s">
        <v>25</v>
      </c>
      <c r="O340" t="s">
        <v>26</v>
      </c>
      <c r="P340" t="s">
        <v>1901</v>
      </c>
      <c r="Q340" t="s">
        <v>28</v>
      </c>
      <c r="R340" s="3">
        <v>41190.537002314813</v>
      </c>
      <c r="T340" t="s">
        <v>29</v>
      </c>
      <c r="U340" t="str">
        <f t="shared" si="20"/>
        <v>[]</v>
      </c>
      <c r="V340" t="str">
        <f t="shared" si="21"/>
        <v/>
      </c>
      <c r="W340" t="str">
        <f t="shared" si="22"/>
        <v/>
      </c>
      <c r="X340" t="str">
        <f t="shared" si="23"/>
        <v/>
      </c>
    </row>
    <row r="341" spans="1:24" ht="409.5" x14ac:dyDescent="0.25">
      <c r="A341" t="s">
        <v>1902</v>
      </c>
      <c r="B341" t="s">
        <v>1903</v>
      </c>
      <c r="C341" t="s">
        <v>1904</v>
      </c>
      <c r="F341" s="2" t="s">
        <v>1905</v>
      </c>
      <c r="L341" t="s">
        <v>24</v>
      </c>
      <c r="M341" t="s">
        <v>25</v>
      </c>
      <c r="O341" t="s">
        <v>26</v>
      </c>
      <c r="P341" t="s">
        <v>1906</v>
      </c>
      <c r="Q341" t="s">
        <v>28</v>
      </c>
      <c r="R341" s="3">
        <v>42940.409571759257</v>
      </c>
      <c r="T341" t="s">
        <v>433</v>
      </c>
      <c r="U341" t="str">
        <f t="shared" si="20"/>
        <v>["2c54f4d6-5712-4e5a-a025-b7f7a396c39b"]</v>
      </c>
      <c r="V341" t="str">
        <f t="shared" si="21"/>
        <v/>
      </c>
      <c r="W341" t="str">
        <f t="shared" si="22"/>
        <v/>
      </c>
      <c r="X341" t="str">
        <f t="shared" si="23"/>
        <v/>
      </c>
    </row>
    <row r="342" spans="1:24" ht="360" x14ac:dyDescent="0.25">
      <c r="A342" t="s">
        <v>1907</v>
      </c>
      <c r="B342" t="s">
        <v>1908</v>
      </c>
      <c r="C342" t="s">
        <v>1908</v>
      </c>
      <c r="F342" s="2" t="s">
        <v>1909</v>
      </c>
      <c r="L342" t="s">
        <v>24</v>
      </c>
      <c r="M342" t="s">
        <v>25</v>
      </c>
      <c r="O342" t="s">
        <v>26</v>
      </c>
      <c r="P342" t="s">
        <v>1910</v>
      </c>
      <c r="Q342" t="s">
        <v>28</v>
      </c>
      <c r="R342" s="3">
        <v>43556.663090277776</v>
      </c>
      <c r="T342" t="s">
        <v>29</v>
      </c>
      <c r="U342" t="str">
        <f t="shared" si="20"/>
        <v>[]</v>
      </c>
      <c r="V342" t="str">
        <f t="shared" si="21"/>
        <v/>
      </c>
      <c r="W342" t="str">
        <f t="shared" si="22"/>
        <v/>
      </c>
      <c r="X342" t="str">
        <f t="shared" si="23"/>
        <v/>
      </c>
    </row>
    <row r="343" spans="1:24" ht="390" x14ac:dyDescent="0.25">
      <c r="A343" t="s">
        <v>1911</v>
      </c>
      <c r="B343" t="s">
        <v>1912</v>
      </c>
      <c r="C343" t="s">
        <v>1913</v>
      </c>
      <c r="F343" s="2" t="s">
        <v>1914</v>
      </c>
      <c r="L343" t="s">
        <v>24</v>
      </c>
      <c r="M343" t="s">
        <v>25</v>
      </c>
      <c r="O343" t="s">
        <v>26</v>
      </c>
      <c r="P343" t="s">
        <v>1915</v>
      </c>
      <c r="Q343" t="s">
        <v>28</v>
      </c>
      <c r="R343" s="3">
        <v>43587.437754629631</v>
      </c>
      <c r="T343" t="s">
        <v>1233</v>
      </c>
      <c r="U343" t="str">
        <f t="shared" si="20"/>
        <v>["96196887-5a20-4e93-a302-72f306f32c9d"]</v>
      </c>
      <c r="V343" t="str">
        <f t="shared" si="21"/>
        <v/>
      </c>
      <c r="W343" t="str">
        <f t="shared" si="22"/>
        <v/>
      </c>
      <c r="X343" t="str">
        <f t="shared" si="23"/>
        <v/>
      </c>
    </row>
    <row r="344" spans="1:24" x14ac:dyDescent="0.25">
      <c r="A344" t="s">
        <v>1916</v>
      </c>
      <c r="B344" t="s">
        <v>1917</v>
      </c>
      <c r="C344" t="s">
        <v>1918</v>
      </c>
      <c r="F344" t="s">
        <v>1919</v>
      </c>
      <c r="L344" t="s">
        <v>24</v>
      </c>
      <c r="M344" t="s">
        <v>25</v>
      </c>
      <c r="O344" t="s">
        <v>26</v>
      </c>
      <c r="P344" t="s">
        <v>1920</v>
      </c>
      <c r="Q344" t="s">
        <v>28</v>
      </c>
      <c r="R344" s="3">
        <v>43726.57440972222</v>
      </c>
      <c r="T344" t="s">
        <v>1921</v>
      </c>
      <c r="U344" t="str">
        <f t="shared" si="20"/>
        <v>["7a8aae59-71a4-4500-b38b-bdf15c7f627f"]</v>
      </c>
      <c r="V344" t="str">
        <f t="shared" si="21"/>
        <v/>
      </c>
      <c r="W344" t="str">
        <f t="shared" si="22"/>
        <v/>
      </c>
      <c r="X344" t="str">
        <f t="shared" si="23"/>
        <v/>
      </c>
    </row>
    <row r="345" spans="1:24" ht="409.5" x14ac:dyDescent="0.25">
      <c r="A345" t="s">
        <v>1922</v>
      </c>
      <c r="B345" t="s">
        <v>1923</v>
      </c>
      <c r="C345" t="s">
        <v>1924</v>
      </c>
      <c r="F345" s="2" t="s">
        <v>1925</v>
      </c>
      <c r="L345" t="s">
        <v>24</v>
      </c>
      <c r="M345" t="s">
        <v>25</v>
      </c>
      <c r="O345" t="s">
        <v>26</v>
      </c>
      <c r="P345" t="s">
        <v>1926</v>
      </c>
      <c r="Q345" t="s">
        <v>28</v>
      </c>
      <c r="R345" s="3">
        <v>43442.930486111109</v>
      </c>
      <c r="T345" t="s">
        <v>1340</v>
      </c>
      <c r="U345" t="str">
        <f t="shared" si="20"/>
        <v>["0fb9ae1a-92cb-4ab8-a589-470c16d4fe21"]</v>
      </c>
      <c r="V345" t="str">
        <f t="shared" si="21"/>
        <v/>
      </c>
      <c r="W345" t="str">
        <f t="shared" si="22"/>
        <v/>
      </c>
      <c r="X345" t="str">
        <f t="shared" si="23"/>
        <v/>
      </c>
    </row>
    <row r="346" spans="1:24" x14ac:dyDescent="0.25">
      <c r="A346" t="s">
        <v>1927</v>
      </c>
      <c r="B346" t="s">
        <v>1928</v>
      </c>
      <c r="C346" t="s">
        <v>1929</v>
      </c>
      <c r="F346" t="s">
        <v>1930</v>
      </c>
      <c r="L346" t="s">
        <v>24</v>
      </c>
      <c r="M346" t="s">
        <v>25</v>
      </c>
      <c r="O346" t="s">
        <v>26</v>
      </c>
      <c r="P346" t="s">
        <v>1931</v>
      </c>
      <c r="Q346" t="s">
        <v>28</v>
      </c>
      <c r="R346" s="3">
        <v>43028.749814814815</v>
      </c>
      <c r="T346" t="s">
        <v>1932</v>
      </c>
      <c r="U346" t="str">
        <f t="shared" si="20"/>
        <v>["3179c5b2-9bb5-4a7f-a573-5491ccb0110b"]</v>
      </c>
      <c r="V346" t="str">
        <f t="shared" si="21"/>
        <v/>
      </c>
      <c r="W346" t="str">
        <f t="shared" si="22"/>
        <v/>
      </c>
      <c r="X346" t="str">
        <f t="shared" si="23"/>
        <v/>
      </c>
    </row>
    <row r="347" spans="1:24" x14ac:dyDescent="0.25">
      <c r="A347" t="s">
        <v>1933</v>
      </c>
      <c r="B347" t="s">
        <v>1934</v>
      </c>
      <c r="C347" t="s">
        <v>1935</v>
      </c>
      <c r="F347" t="s">
        <v>1936</v>
      </c>
      <c r="L347" t="s">
        <v>24</v>
      </c>
      <c r="M347" t="s">
        <v>25</v>
      </c>
      <c r="O347" t="s">
        <v>26</v>
      </c>
      <c r="P347" t="s">
        <v>1937</v>
      </c>
      <c r="Q347" t="s">
        <v>28</v>
      </c>
      <c r="R347" s="3">
        <v>42984.394282407404</v>
      </c>
      <c r="T347" t="s">
        <v>674</v>
      </c>
      <c r="U347" t="str">
        <f t="shared" si="20"/>
        <v>["522d3045-0b37-48d0-b868-57c99726b1c4"]</v>
      </c>
      <c r="V347" t="str">
        <f t="shared" si="21"/>
        <v/>
      </c>
      <c r="W347" t="str">
        <f t="shared" si="22"/>
        <v/>
      </c>
      <c r="X347" t="str">
        <f t="shared" si="23"/>
        <v/>
      </c>
    </row>
    <row r="348" spans="1:24" x14ac:dyDescent="0.25">
      <c r="A348" s="4" t="s">
        <v>1938</v>
      </c>
      <c r="B348" t="s">
        <v>1939</v>
      </c>
      <c r="C348" t="s">
        <v>1940</v>
      </c>
      <c r="F348" t="s">
        <v>1941</v>
      </c>
      <c r="L348" t="s">
        <v>24</v>
      </c>
      <c r="M348" t="s">
        <v>25</v>
      </c>
      <c r="O348" t="s">
        <v>26</v>
      </c>
      <c r="P348" t="s">
        <v>1942</v>
      </c>
      <c r="Q348" t="s">
        <v>28</v>
      </c>
      <c r="R348" s="3">
        <v>43906.506388888891</v>
      </c>
      <c r="T348" t="s">
        <v>1943</v>
      </c>
      <c r="U348" t="str">
        <f t="shared" si="20"/>
        <v>["c91a4635-8b7d-43fe-9b27-d95dec8392a7", "f660cf3f-afa9-4816-aafb-0098a36ca57d"]</v>
      </c>
      <c r="V348" t="str">
        <f t="shared" si="21"/>
        <v/>
      </c>
      <c r="W348" t="str">
        <f t="shared" si="22"/>
        <v/>
      </c>
      <c r="X348" t="str">
        <f t="shared" si="23"/>
        <v/>
      </c>
    </row>
    <row r="349" spans="1:24" x14ac:dyDescent="0.25">
      <c r="A349" t="s">
        <v>1944</v>
      </c>
      <c r="B349" t="s">
        <v>1945</v>
      </c>
      <c r="C349" t="s">
        <v>1946</v>
      </c>
      <c r="F349" t="s">
        <v>1947</v>
      </c>
      <c r="L349" t="s">
        <v>24</v>
      </c>
      <c r="M349" t="s">
        <v>25</v>
      </c>
      <c r="O349" t="s">
        <v>26</v>
      </c>
      <c r="P349" t="s">
        <v>1948</v>
      </c>
      <c r="Q349" t="s">
        <v>28</v>
      </c>
      <c r="R349" s="3">
        <v>43108.643935185188</v>
      </c>
      <c r="T349" t="s">
        <v>1949</v>
      </c>
      <c r="U349" t="str">
        <f t="shared" si="20"/>
        <v>["096e7096-8e0a-40a1-9da3-5cceee97d53a"]</v>
      </c>
      <c r="V349" t="str">
        <f t="shared" si="21"/>
        <v/>
      </c>
      <c r="W349" t="str">
        <f t="shared" si="22"/>
        <v/>
      </c>
      <c r="X349" t="str">
        <f t="shared" si="23"/>
        <v/>
      </c>
    </row>
    <row r="350" spans="1:24" ht="409.5" x14ac:dyDescent="0.25">
      <c r="A350" t="s">
        <v>1950</v>
      </c>
      <c r="B350" t="s">
        <v>1951</v>
      </c>
      <c r="C350" t="s">
        <v>1952</v>
      </c>
      <c r="F350" s="2" t="s">
        <v>1953</v>
      </c>
      <c r="L350" t="s">
        <v>24</v>
      </c>
      <c r="M350" t="s">
        <v>25</v>
      </c>
      <c r="O350" t="s">
        <v>26</v>
      </c>
      <c r="P350" t="s">
        <v>1954</v>
      </c>
      <c r="Q350" t="s">
        <v>28</v>
      </c>
      <c r="R350" s="3">
        <v>43514.675069444442</v>
      </c>
      <c r="T350" t="s">
        <v>1955</v>
      </c>
      <c r="U350" t="str">
        <f t="shared" si="20"/>
        <v>["d0145df8-7f6d-46e1-9bc6-ee7897054104"]</v>
      </c>
      <c r="V350" t="str">
        <f t="shared" si="21"/>
        <v/>
      </c>
      <c r="W350" t="str">
        <f t="shared" si="22"/>
        <v/>
      </c>
      <c r="X350" t="str">
        <f t="shared" si="23"/>
        <v/>
      </c>
    </row>
    <row r="351" spans="1:24" x14ac:dyDescent="0.25">
      <c r="A351" t="s">
        <v>1956</v>
      </c>
      <c r="B351" t="s">
        <v>1957</v>
      </c>
      <c r="C351" t="s">
        <v>1958</v>
      </c>
      <c r="F351" t="s">
        <v>1959</v>
      </c>
      <c r="L351" t="s">
        <v>24</v>
      </c>
      <c r="M351" t="s">
        <v>25</v>
      </c>
      <c r="O351" t="s">
        <v>26</v>
      </c>
      <c r="P351" t="s">
        <v>1960</v>
      </c>
      <c r="Q351" t="s">
        <v>28</v>
      </c>
      <c r="R351" s="3">
        <v>43977.371689814812</v>
      </c>
      <c r="T351" t="s">
        <v>1961</v>
      </c>
      <c r="U351" t="str">
        <f t="shared" si="20"/>
        <v>["cf00fe06-e4b2-4319-af00-85230e7b2f1b"]</v>
      </c>
      <c r="V351" t="str">
        <f t="shared" si="21"/>
        <v/>
      </c>
      <c r="W351" t="str">
        <f t="shared" si="22"/>
        <v/>
      </c>
      <c r="X351" t="str">
        <f t="shared" si="23"/>
        <v/>
      </c>
    </row>
    <row r="352" spans="1:24" x14ac:dyDescent="0.25">
      <c r="A352" t="s">
        <v>1962</v>
      </c>
      <c r="B352" t="s">
        <v>1963</v>
      </c>
      <c r="C352" t="s">
        <v>1964</v>
      </c>
      <c r="F352" t="s">
        <v>1965</v>
      </c>
      <c r="L352" t="s">
        <v>24</v>
      </c>
      <c r="M352" t="s">
        <v>25</v>
      </c>
      <c r="O352" t="s">
        <v>26</v>
      </c>
      <c r="P352" t="s">
        <v>1966</v>
      </c>
      <c r="Q352" t="s">
        <v>28</v>
      </c>
      <c r="R352" s="3">
        <v>43937.360138888886</v>
      </c>
      <c r="T352" t="s">
        <v>1967</v>
      </c>
      <c r="U352" t="str">
        <f t="shared" si="20"/>
        <v>["4b71eb3d-7d55-4967-b80d-91a3f220b60c"]</v>
      </c>
      <c r="V352" t="str">
        <f t="shared" si="21"/>
        <v/>
      </c>
      <c r="W352" t="str">
        <f t="shared" si="22"/>
        <v/>
      </c>
      <c r="X352" t="str">
        <f t="shared" si="23"/>
        <v/>
      </c>
    </row>
    <row r="353" spans="1:24" ht="409.5" x14ac:dyDescent="0.25">
      <c r="A353" t="s">
        <v>1968</v>
      </c>
      <c r="B353" t="s">
        <v>1969</v>
      </c>
      <c r="C353" t="s">
        <v>1179</v>
      </c>
      <c r="F353" s="2" t="s">
        <v>1970</v>
      </c>
      <c r="L353" t="s">
        <v>24</v>
      </c>
      <c r="M353" t="s">
        <v>25</v>
      </c>
      <c r="O353" t="s">
        <v>26</v>
      </c>
      <c r="P353" t="s">
        <v>1971</v>
      </c>
      <c r="Q353" t="s">
        <v>28</v>
      </c>
      <c r="R353" s="3">
        <v>43699.542129629626</v>
      </c>
      <c r="T353" t="s">
        <v>1972</v>
      </c>
      <c r="U353" t="str">
        <f t="shared" si="20"/>
        <v>["6858b208-62bc-424e-9d7b-c89b74d3d3e3", "aa8876c7-9711-4969-b428-34400f2d0dbe", "4315e096-f51e-4b56-8235-57be9789a62c", "6d92970a-d698-418b-8576-f3b03dc1a59a", "71a6ca86-228a-4b57-b1bc-c3b887dd009e", "5983a1bb-62b6-4e26-afd0-dc234b34cf4b"]</v>
      </c>
      <c r="V353" t="str">
        <f t="shared" si="21"/>
        <v/>
      </c>
      <c r="W353" t="str">
        <f t="shared" si="22"/>
        <v/>
      </c>
      <c r="X353" t="str">
        <f t="shared" si="23"/>
        <v/>
      </c>
    </row>
    <row r="354" spans="1:24" ht="409.5" x14ac:dyDescent="0.25">
      <c r="A354" t="s">
        <v>1973</v>
      </c>
      <c r="B354" t="s">
        <v>1974</v>
      </c>
      <c r="C354" t="s">
        <v>1975</v>
      </c>
      <c r="F354" s="2" t="s">
        <v>1976</v>
      </c>
      <c r="L354" t="s">
        <v>24</v>
      </c>
      <c r="M354" t="s">
        <v>25</v>
      </c>
      <c r="O354" t="s">
        <v>26</v>
      </c>
      <c r="P354" t="s">
        <v>1977</v>
      </c>
      <c r="Q354" t="s">
        <v>28</v>
      </c>
      <c r="R354" s="3">
        <v>41190.561539351853</v>
      </c>
      <c r="T354" t="s">
        <v>29</v>
      </c>
      <c r="U354" t="str">
        <f t="shared" si="20"/>
        <v>[]</v>
      </c>
      <c r="V354" t="str">
        <f t="shared" si="21"/>
        <v/>
      </c>
      <c r="W354" t="str">
        <f t="shared" si="22"/>
        <v/>
      </c>
      <c r="X354" t="str">
        <f t="shared" si="23"/>
        <v/>
      </c>
    </row>
    <row r="355" spans="1:24" x14ac:dyDescent="0.25">
      <c r="A355" t="s">
        <v>1978</v>
      </c>
      <c r="B355" t="s">
        <v>1979</v>
      </c>
      <c r="C355" t="s">
        <v>1980</v>
      </c>
      <c r="F355" t="s">
        <v>1981</v>
      </c>
      <c r="L355" t="s">
        <v>24</v>
      </c>
      <c r="M355" t="s">
        <v>25</v>
      </c>
      <c r="O355" t="s">
        <v>26</v>
      </c>
      <c r="P355" t="s">
        <v>1982</v>
      </c>
      <c r="Q355" t="s">
        <v>28</v>
      </c>
      <c r="R355" s="3">
        <v>41192.748460648145</v>
      </c>
      <c r="T355" t="s">
        <v>69</v>
      </c>
      <c r="U355" t="str">
        <f t="shared" si="20"/>
        <v>["8b3b3cdf-2be6-4f0b-8c86-f6be67e5b002"]</v>
      </c>
      <c r="V355" t="str">
        <f t="shared" si="21"/>
        <v/>
      </c>
      <c r="W355" t="str">
        <f t="shared" si="22"/>
        <v/>
      </c>
      <c r="X355" t="str">
        <f t="shared" si="23"/>
        <v/>
      </c>
    </row>
    <row r="356" spans="1:24" x14ac:dyDescent="0.25">
      <c r="A356" t="s">
        <v>1983</v>
      </c>
      <c r="B356" t="s">
        <v>1984</v>
      </c>
      <c r="C356" t="s">
        <v>1985</v>
      </c>
      <c r="F356" t="s">
        <v>1986</v>
      </c>
      <c r="L356" t="s">
        <v>24</v>
      </c>
      <c r="M356" t="s">
        <v>25</v>
      </c>
      <c r="O356" t="s">
        <v>26</v>
      </c>
      <c r="P356" t="s">
        <v>1987</v>
      </c>
      <c r="Q356" t="s">
        <v>28</v>
      </c>
      <c r="R356" s="3">
        <v>43195.648541666669</v>
      </c>
      <c r="T356" t="s">
        <v>1988</v>
      </c>
      <c r="U356" t="str">
        <f t="shared" si="20"/>
        <v>["9b73c5ff-97c7-4a51-adda-3142e84f0094"]</v>
      </c>
      <c r="V356" t="str">
        <f t="shared" si="21"/>
        <v/>
      </c>
      <c r="W356" t="str">
        <f t="shared" si="22"/>
        <v/>
      </c>
      <c r="X356" t="str">
        <f t="shared" si="23"/>
        <v/>
      </c>
    </row>
    <row r="357" spans="1:24" ht="409.5" x14ac:dyDescent="0.25">
      <c r="A357" t="s">
        <v>1989</v>
      </c>
      <c r="B357" t="s">
        <v>1990</v>
      </c>
      <c r="C357" t="s">
        <v>1991</v>
      </c>
      <c r="F357" s="2" t="s">
        <v>1992</v>
      </c>
      <c r="L357" t="s">
        <v>24</v>
      </c>
      <c r="M357" t="s">
        <v>25</v>
      </c>
      <c r="O357" t="s">
        <v>26</v>
      </c>
      <c r="P357" t="s">
        <v>1993</v>
      </c>
      <c r="Q357" t="s">
        <v>28</v>
      </c>
      <c r="R357" s="3">
        <v>42881.445393518516</v>
      </c>
      <c r="T357" t="s">
        <v>1107</v>
      </c>
      <c r="U357" t="str">
        <f t="shared" si="20"/>
        <v>["a01bd054-65f7-4433-b852-6c8f926a4da0"]</v>
      </c>
      <c r="V357" t="str">
        <f t="shared" si="21"/>
        <v/>
      </c>
      <c r="W357" t="str">
        <f t="shared" si="22"/>
        <v/>
      </c>
      <c r="X357" t="str">
        <f t="shared" si="23"/>
        <v/>
      </c>
    </row>
    <row r="358" spans="1:24" x14ac:dyDescent="0.25">
      <c r="A358" t="s">
        <v>1994</v>
      </c>
      <c r="B358" t="s">
        <v>1995</v>
      </c>
      <c r="C358" t="s">
        <v>1996</v>
      </c>
      <c r="F358" t="s">
        <v>1997</v>
      </c>
      <c r="L358" t="s">
        <v>24</v>
      </c>
      <c r="M358" t="s">
        <v>25</v>
      </c>
      <c r="O358" t="s">
        <v>26</v>
      </c>
      <c r="P358" t="s">
        <v>1998</v>
      </c>
      <c r="Q358" t="s">
        <v>28</v>
      </c>
      <c r="R358" s="3">
        <v>42976.480821759258</v>
      </c>
      <c r="T358" t="s">
        <v>1999</v>
      </c>
      <c r="U358" t="str">
        <f t="shared" si="20"/>
        <v>["09716341-2bea-4298-9525-e936d8247d19", "fff27cd6-426c-479f-ae66-077ae6f1437d", "26f4d3e5-9ad6-456a-9045-34badb1f33cf", "8e3d16a2fe1c26ea4dc1d283aa35dc164112b131", "1dfe8290-3972-11e2-81c1-0800200c9a66", "0eb6493d-4caa-424d-846d-9445f19d99cf", "2fa6a140-3693-4f20-acef-11ceec9e8a84", "037ed0f2-1ac3-4aca-8b64-fb60dc145f1e", "084094a8-8261-49d0-96c5-d16da89f9624", "2b10a91b-51d5-4e34-b992-8fd3a3121f0d"]</v>
      </c>
      <c r="V358" t="str">
        <f t="shared" si="21"/>
        <v/>
      </c>
      <c r="W358" t="str">
        <f t="shared" si="22"/>
        <v/>
      </c>
      <c r="X358" t="str">
        <f t="shared" si="23"/>
        <v/>
      </c>
    </row>
    <row r="359" spans="1:24" x14ac:dyDescent="0.25">
      <c r="A359" t="s">
        <v>2000</v>
      </c>
      <c r="B359" t="s">
        <v>2001</v>
      </c>
      <c r="C359" t="s">
        <v>2002</v>
      </c>
      <c r="F359" t="s">
        <v>2003</v>
      </c>
      <c r="L359" t="s">
        <v>24</v>
      </c>
      <c r="M359" t="s">
        <v>25</v>
      </c>
      <c r="O359" t="s">
        <v>26</v>
      </c>
      <c r="P359" t="s">
        <v>2004</v>
      </c>
      <c r="Q359" t="s">
        <v>28</v>
      </c>
      <c r="R359" s="3">
        <v>42976.543877314813</v>
      </c>
      <c r="T359" t="s">
        <v>674</v>
      </c>
      <c r="U359" t="str">
        <f t="shared" si="20"/>
        <v>["522d3045-0b37-48d0-b868-57c99726b1c4"]</v>
      </c>
      <c r="V359" t="str">
        <f t="shared" si="21"/>
        <v/>
      </c>
      <c r="W359" t="str">
        <f t="shared" si="22"/>
        <v/>
      </c>
      <c r="X359" t="str">
        <f t="shared" si="23"/>
        <v/>
      </c>
    </row>
    <row r="360" spans="1:24" ht="409.5" x14ac:dyDescent="0.25">
      <c r="A360" t="s">
        <v>2005</v>
      </c>
      <c r="B360" t="s">
        <v>2006</v>
      </c>
      <c r="C360" t="s">
        <v>326</v>
      </c>
      <c r="F360" s="2" t="s">
        <v>2007</v>
      </c>
      <c r="L360" t="s">
        <v>24</v>
      </c>
      <c r="M360" t="s">
        <v>25</v>
      </c>
      <c r="O360" t="s">
        <v>26</v>
      </c>
      <c r="P360" t="s">
        <v>2008</v>
      </c>
      <c r="Q360" t="s">
        <v>28</v>
      </c>
      <c r="R360" s="3">
        <v>41221.590266203704</v>
      </c>
      <c r="T360" t="s">
        <v>329</v>
      </c>
      <c r="U360" t="str">
        <f t="shared" si="20"/>
        <v>["74358c31-1607-41ff-bf02-a4b171e3a40d", "92183c55-442b-405d-9046-d19b07ffc83a"]</v>
      </c>
      <c r="V360" t="str">
        <f t="shared" si="21"/>
        <v/>
      </c>
      <c r="W360" t="str">
        <f t="shared" si="22"/>
        <v/>
      </c>
      <c r="X360" t="str">
        <f t="shared" si="23"/>
        <v/>
      </c>
    </row>
    <row r="361" spans="1:24" x14ac:dyDescent="0.25">
      <c r="A361" t="s">
        <v>2009</v>
      </c>
      <c r="B361" t="s">
        <v>2010</v>
      </c>
      <c r="C361" t="s">
        <v>2011</v>
      </c>
      <c r="F361" t="s">
        <v>2012</v>
      </c>
      <c r="L361" t="s">
        <v>24</v>
      </c>
      <c r="M361" t="s">
        <v>25</v>
      </c>
      <c r="O361" t="s">
        <v>26</v>
      </c>
      <c r="P361" t="s">
        <v>2013</v>
      </c>
      <c r="Q361" t="s">
        <v>28</v>
      </c>
      <c r="R361" s="3">
        <v>43208.375983796293</v>
      </c>
      <c r="T361" t="s">
        <v>433</v>
      </c>
      <c r="U361" t="str">
        <f t="shared" si="20"/>
        <v>["2c54f4d6-5712-4e5a-a025-b7f7a396c39b"]</v>
      </c>
      <c r="V361" t="str">
        <f t="shared" si="21"/>
        <v/>
      </c>
      <c r="W361" t="str">
        <f t="shared" si="22"/>
        <v/>
      </c>
      <c r="X361" t="str">
        <f t="shared" si="23"/>
        <v/>
      </c>
    </row>
    <row r="362" spans="1:24" x14ac:dyDescent="0.25">
      <c r="A362" t="s">
        <v>2014</v>
      </c>
      <c r="B362" t="s">
        <v>2015</v>
      </c>
      <c r="C362" t="s">
        <v>2016</v>
      </c>
      <c r="F362" t="s">
        <v>2017</v>
      </c>
      <c r="L362" t="s">
        <v>24</v>
      </c>
      <c r="M362" t="s">
        <v>25</v>
      </c>
      <c r="O362" t="s">
        <v>26</v>
      </c>
      <c r="P362" t="s">
        <v>2018</v>
      </c>
      <c r="Q362" t="s">
        <v>28</v>
      </c>
      <c r="R362" s="3">
        <v>43207.422789351855</v>
      </c>
      <c r="T362" t="s">
        <v>2019</v>
      </c>
      <c r="U362" t="str">
        <f t="shared" si="20"/>
        <v>["d7b2b2a9-89e1-4612-b588-5c0134c6069f"]</v>
      </c>
      <c r="V362" t="str">
        <f t="shared" si="21"/>
        <v/>
      </c>
      <c r="W362" t="str">
        <f t="shared" si="22"/>
        <v/>
      </c>
      <c r="X362" t="str">
        <f t="shared" si="23"/>
        <v/>
      </c>
    </row>
    <row r="363" spans="1:24" x14ac:dyDescent="0.25">
      <c r="A363" t="s">
        <v>2020</v>
      </c>
      <c r="B363" t="s">
        <v>2021</v>
      </c>
      <c r="C363" t="s">
        <v>2022</v>
      </c>
      <c r="F363" t="s">
        <v>2023</v>
      </c>
      <c r="L363" t="s">
        <v>24</v>
      </c>
      <c r="M363" t="s">
        <v>25</v>
      </c>
      <c r="O363" t="s">
        <v>26</v>
      </c>
      <c r="P363" t="s">
        <v>2024</v>
      </c>
      <c r="Q363" t="s">
        <v>28</v>
      </c>
      <c r="R363" s="3">
        <v>43060.64502314815</v>
      </c>
      <c r="T363" t="s">
        <v>1096</v>
      </c>
      <c r="U363" t="str">
        <f t="shared" si="20"/>
        <v>["9b40a0af-a6fe-47ff-9624-2ea8f40c746f"]</v>
      </c>
      <c r="V363" t="str">
        <f t="shared" si="21"/>
        <v/>
      </c>
      <c r="W363" t="str">
        <f t="shared" si="22"/>
        <v/>
      </c>
      <c r="X363" t="str">
        <f t="shared" si="23"/>
        <v/>
      </c>
    </row>
    <row r="364" spans="1:24" x14ac:dyDescent="0.25">
      <c r="A364" t="s">
        <v>2025</v>
      </c>
      <c r="B364" t="s">
        <v>2026</v>
      </c>
      <c r="C364" t="s">
        <v>2027</v>
      </c>
      <c r="F364" t="s">
        <v>2028</v>
      </c>
      <c r="L364" t="s">
        <v>24</v>
      </c>
      <c r="M364" t="s">
        <v>25</v>
      </c>
      <c r="O364" t="s">
        <v>26</v>
      </c>
      <c r="P364" t="s">
        <v>2029</v>
      </c>
      <c r="Q364" t="s">
        <v>28</v>
      </c>
      <c r="R364" s="3">
        <v>43629.669131944444</v>
      </c>
      <c r="T364" t="s">
        <v>2030</v>
      </c>
      <c r="U364" t="str">
        <f t="shared" si="20"/>
        <v>["ab4a73b6-1c2d-42e1-b4d9-049e04889cf0", "21fca925-12ac-4215-ba1a-a9c73cb3b082"]</v>
      </c>
      <c r="V364" t="str">
        <f t="shared" si="21"/>
        <v/>
      </c>
      <c r="W364" t="str">
        <f t="shared" si="22"/>
        <v/>
      </c>
      <c r="X364" t="str">
        <f t="shared" si="23"/>
        <v/>
      </c>
    </row>
    <row r="365" spans="1:24" x14ac:dyDescent="0.25">
      <c r="A365" t="s">
        <v>2031</v>
      </c>
      <c r="B365" t="s">
        <v>2032</v>
      </c>
      <c r="C365" t="s">
        <v>2033</v>
      </c>
      <c r="F365" t="s">
        <v>2034</v>
      </c>
      <c r="L365" t="s">
        <v>24</v>
      </c>
      <c r="M365" t="s">
        <v>25</v>
      </c>
      <c r="O365" t="s">
        <v>26</v>
      </c>
      <c r="P365" t="s">
        <v>2035</v>
      </c>
      <c r="Q365" t="s">
        <v>28</v>
      </c>
      <c r="R365" s="3">
        <v>43056.41443287037</v>
      </c>
      <c r="T365" t="s">
        <v>2036</v>
      </c>
      <c r="U365" t="str">
        <f t="shared" si="20"/>
        <v>["05f6c1e4-ae72-45a5-b249-105212463591"]</v>
      </c>
      <c r="V365" t="str">
        <f t="shared" si="21"/>
        <v/>
      </c>
      <c r="W365" t="str">
        <f t="shared" si="22"/>
        <v/>
      </c>
      <c r="X365" t="str">
        <f t="shared" si="23"/>
        <v/>
      </c>
    </row>
    <row r="366" spans="1:24" ht="409.5" x14ac:dyDescent="0.25">
      <c r="A366" t="s">
        <v>2037</v>
      </c>
      <c r="B366" t="s">
        <v>2038</v>
      </c>
      <c r="C366" t="s">
        <v>2039</v>
      </c>
      <c r="F366" s="2" t="s">
        <v>2040</v>
      </c>
      <c r="L366" t="s">
        <v>24</v>
      </c>
      <c r="M366" t="s">
        <v>25</v>
      </c>
      <c r="O366" t="s">
        <v>26</v>
      </c>
      <c r="P366" t="s">
        <v>2041</v>
      </c>
      <c r="Q366" t="s">
        <v>28</v>
      </c>
      <c r="R366" s="3">
        <v>43442.904652777775</v>
      </c>
      <c r="T366" t="s">
        <v>2042</v>
      </c>
      <c r="U366" t="str">
        <f t="shared" si="20"/>
        <v>["f2bb4f42-2c40-4c9d-890b-c2b3061bfe5a", "d9ae1245-158e-4d79-86a4-2d9b3defbedc"]</v>
      </c>
      <c r="V366" t="str">
        <f t="shared" si="21"/>
        <v/>
      </c>
      <c r="W366" t="str">
        <f t="shared" si="22"/>
        <v/>
      </c>
      <c r="X366" t="str">
        <f t="shared" si="23"/>
        <v/>
      </c>
    </row>
    <row r="367" spans="1:24" ht="409.5" x14ac:dyDescent="0.25">
      <c r="A367" t="s">
        <v>2043</v>
      </c>
      <c r="B367" t="s">
        <v>2044</v>
      </c>
      <c r="C367" t="s">
        <v>2045</v>
      </c>
      <c r="F367" s="2" t="s">
        <v>2046</v>
      </c>
      <c r="L367" t="s">
        <v>24</v>
      </c>
      <c r="M367" t="s">
        <v>25</v>
      </c>
      <c r="O367" t="s">
        <v>26</v>
      </c>
      <c r="P367" t="s">
        <v>2047</v>
      </c>
      <c r="Q367" t="s">
        <v>28</v>
      </c>
      <c r="R367" s="3">
        <v>43374.013831018521</v>
      </c>
      <c r="T367" t="s">
        <v>2048</v>
      </c>
      <c r="U367" t="str">
        <f t="shared" si="20"/>
        <v>["d9ae1245-158e-4d79-86a4-2d9b3defbedc"]</v>
      </c>
      <c r="V367" t="str">
        <f t="shared" si="21"/>
        <v/>
      </c>
      <c r="W367" t="str">
        <f t="shared" si="22"/>
        <v/>
      </c>
      <c r="X367" t="str">
        <f t="shared" si="23"/>
        <v/>
      </c>
    </row>
    <row r="368" spans="1:24" ht="409.5" x14ac:dyDescent="0.25">
      <c r="A368" t="s">
        <v>2049</v>
      </c>
      <c r="B368" t="s">
        <v>2050</v>
      </c>
      <c r="C368" t="s">
        <v>2051</v>
      </c>
      <c r="F368" s="2" t="s">
        <v>2052</v>
      </c>
      <c r="L368" t="s">
        <v>24</v>
      </c>
      <c r="M368" t="s">
        <v>25</v>
      </c>
      <c r="O368" t="s">
        <v>26</v>
      </c>
      <c r="P368" t="s">
        <v>2053</v>
      </c>
      <c r="Q368" t="s">
        <v>28</v>
      </c>
      <c r="R368" s="3">
        <v>43090.889062499999</v>
      </c>
      <c r="T368" t="s">
        <v>1281</v>
      </c>
      <c r="U368" t="str">
        <f t="shared" si="20"/>
        <v>["3fefc838-791d-4dde-975b-a4131a54e7c5"]</v>
      </c>
      <c r="V368" t="str">
        <f t="shared" si="21"/>
        <v/>
      </c>
      <c r="W368" t="str">
        <f t="shared" si="22"/>
        <v/>
      </c>
      <c r="X368" t="str">
        <f t="shared" si="23"/>
        <v/>
      </c>
    </row>
    <row r="369" spans="1:24" x14ac:dyDescent="0.25">
      <c r="A369" t="s">
        <v>2054</v>
      </c>
      <c r="B369" t="s">
        <v>2055</v>
      </c>
      <c r="C369" t="s">
        <v>2056</v>
      </c>
      <c r="F369" t="s">
        <v>2057</v>
      </c>
      <c r="L369" t="s">
        <v>24</v>
      </c>
      <c r="M369" t="s">
        <v>25</v>
      </c>
      <c r="O369" t="s">
        <v>26</v>
      </c>
      <c r="P369" t="s">
        <v>2058</v>
      </c>
      <c r="Q369" t="s">
        <v>28</v>
      </c>
      <c r="R369" s="3">
        <v>43740.535798611112</v>
      </c>
      <c r="T369" t="s">
        <v>2059</v>
      </c>
      <c r="U369" t="str">
        <f t="shared" si="20"/>
        <v>["8becadda-124e-43f3-900e-f1ab685574e5"]</v>
      </c>
      <c r="V369" t="str">
        <f t="shared" si="21"/>
        <v/>
      </c>
      <c r="W369" t="str">
        <f t="shared" si="22"/>
        <v/>
      </c>
      <c r="X369" t="str">
        <f t="shared" si="23"/>
        <v/>
      </c>
    </row>
    <row r="370" spans="1:24" x14ac:dyDescent="0.25">
      <c r="A370" t="s">
        <v>2060</v>
      </c>
      <c r="B370" t="s">
        <v>2061</v>
      </c>
      <c r="C370" t="s">
        <v>2062</v>
      </c>
      <c r="F370" t="s">
        <v>2063</v>
      </c>
      <c r="L370" t="s">
        <v>24</v>
      </c>
      <c r="M370" t="s">
        <v>25</v>
      </c>
      <c r="O370" t="s">
        <v>26</v>
      </c>
      <c r="P370" t="s">
        <v>2064</v>
      </c>
      <c r="Q370" t="s">
        <v>28</v>
      </c>
      <c r="R370" s="3">
        <v>42993.357303240744</v>
      </c>
      <c r="T370" t="s">
        <v>613</v>
      </c>
      <c r="U370" t="str">
        <f t="shared" si="20"/>
        <v>["bd8b518b-d812-46f9-b367-4c1b660cfc99"]</v>
      </c>
      <c r="V370" t="str">
        <f t="shared" si="21"/>
        <v/>
      </c>
      <c r="W370" t="str">
        <f t="shared" si="22"/>
        <v/>
      </c>
      <c r="X370" t="str">
        <f t="shared" si="23"/>
        <v/>
      </c>
    </row>
    <row r="371" spans="1:24" ht="409.5" x14ac:dyDescent="0.25">
      <c r="A371" t="s">
        <v>2065</v>
      </c>
      <c r="B371" t="s">
        <v>2066</v>
      </c>
      <c r="C371" t="s">
        <v>2067</v>
      </c>
      <c r="F371" s="2" t="s">
        <v>2068</v>
      </c>
      <c r="L371" t="s">
        <v>24</v>
      </c>
      <c r="M371" t="s">
        <v>25</v>
      </c>
      <c r="O371" t="s">
        <v>26</v>
      </c>
      <c r="P371" t="s">
        <v>2069</v>
      </c>
      <c r="Q371" t="s">
        <v>28</v>
      </c>
      <c r="R371" s="3">
        <v>43003.37703703704</v>
      </c>
      <c r="T371" t="s">
        <v>201</v>
      </c>
      <c r="U371" t="str">
        <f t="shared" si="20"/>
        <v>["87fc82a0-0042-49c8-b6f9-2602cd3dc17a"]</v>
      </c>
      <c r="V371" t="str">
        <f t="shared" si="21"/>
        <v/>
      </c>
      <c r="W371" t="str">
        <f t="shared" si="22"/>
        <v/>
      </c>
      <c r="X371" t="str">
        <f t="shared" si="23"/>
        <v/>
      </c>
    </row>
    <row r="372" spans="1:24" x14ac:dyDescent="0.25">
      <c r="A372" t="s">
        <v>2070</v>
      </c>
      <c r="B372" t="s">
        <v>2071</v>
      </c>
      <c r="C372" t="s">
        <v>2072</v>
      </c>
      <c r="F372" t="s">
        <v>2073</v>
      </c>
      <c r="L372" t="s">
        <v>24</v>
      </c>
      <c r="M372" t="s">
        <v>25</v>
      </c>
      <c r="O372" t="s">
        <v>26</v>
      </c>
      <c r="P372" t="s">
        <v>2074</v>
      </c>
      <c r="Q372" t="s">
        <v>28</v>
      </c>
      <c r="R372" s="3">
        <v>43207.436331018522</v>
      </c>
      <c r="T372" t="s">
        <v>433</v>
      </c>
      <c r="U372" t="str">
        <f t="shared" si="20"/>
        <v>["2c54f4d6-5712-4e5a-a025-b7f7a396c39b"]</v>
      </c>
      <c r="V372" t="str">
        <f t="shared" si="21"/>
        <v/>
      </c>
      <c r="W372" t="str">
        <f t="shared" si="22"/>
        <v/>
      </c>
      <c r="X372" t="str">
        <f t="shared" si="23"/>
        <v/>
      </c>
    </row>
    <row r="373" spans="1:24" x14ac:dyDescent="0.25">
      <c r="A373" t="s">
        <v>2075</v>
      </c>
      <c r="B373" t="s">
        <v>2076</v>
      </c>
      <c r="C373" t="s">
        <v>2077</v>
      </c>
      <c r="F373" t="s">
        <v>2078</v>
      </c>
      <c r="L373" t="s">
        <v>24</v>
      </c>
      <c r="M373" t="s">
        <v>25</v>
      </c>
      <c r="O373" t="s">
        <v>26</v>
      </c>
      <c r="P373" t="s">
        <v>2079</v>
      </c>
      <c r="Q373" t="s">
        <v>28</v>
      </c>
      <c r="R373" s="3">
        <v>43613.598981481482</v>
      </c>
      <c r="T373" t="s">
        <v>2080</v>
      </c>
      <c r="U373" t="str">
        <f t="shared" si="20"/>
        <v>["7e8c895e-073f-4e39-bcc4-a509976f4120"]</v>
      </c>
      <c r="V373" t="str">
        <f t="shared" si="21"/>
        <v/>
      </c>
      <c r="W373" t="str">
        <f t="shared" si="22"/>
        <v/>
      </c>
      <c r="X373" t="str">
        <f t="shared" si="23"/>
        <v/>
      </c>
    </row>
    <row r="374" spans="1:24" x14ac:dyDescent="0.25">
      <c r="A374" t="s">
        <v>2081</v>
      </c>
      <c r="B374" t="s">
        <v>2082</v>
      </c>
      <c r="C374" t="s">
        <v>2083</v>
      </c>
      <c r="F374" t="s">
        <v>2084</v>
      </c>
      <c r="L374" t="s">
        <v>24</v>
      </c>
      <c r="M374" t="s">
        <v>25</v>
      </c>
      <c r="O374" t="s">
        <v>26</v>
      </c>
      <c r="P374" t="s">
        <v>2085</v>
      </c>
      <c r="Q374" t="s">
        <v>28</v>
      </c>
      <c r="R374" s="3">
        <v>43690.891805555555</v>
      </c>
      <c r="T374" t="s">
        <v>2086</v>
      </c>
      <c r="U374" t="str">
        <f t="shared" si="20"/>
        <v>["a73befc7-575f-48cb-8eb9-b05172a8c9e3"]</v>
      </c>
      <c r="V374" t="str">
        <f t="shared" si="21"/>
        <v/>
      </c>
      <c r="W374" t="str">
        <f t="shared" si="22"/>
        <v/>
      </c>
      <c r="X374" t="str">
        <f t="shared" si="23"/>
        <v/>
      </c>
    </row>
    <row r="375" spans="1:24" ht="409.5" x14ac:dyDescent="0.25">
      <c r="A375" t="s">
        <v>2087</v>
      </c>
      <c r="B375" t="s">
        <v>2088</v>
      </c>
      <c r="C375" t="s">
        <v>2089</v>
      </c>
      <c r="F375" s="2" t="s">
        <v>2090</v>
      </c>
      <c r="L375" t="s">
        <v>24</v>
      </c>
      <c r="M375" t="s">
        <v>25</v>
      </c>
      <c r="O375" t="s">
        <v>26</v>
      </c>
      <c r="P375" t="s">
        <v>2091</v>
      </c>
      <c r="Q375" t="s">
        <v>28</v>
      </c>
      <c r="R375" s="3">
        <v>43300.460763888892</v>
      </c>
      <c r="T375" t="s">
        <v>123</v>
      </c>
      <c r="U375" t="str">
        <f t="shared" si="20"/>
        <v>["523ba2e4-8c55-4dde-8acf-39e3621811b0"]</v>
      </c>
      <c r="V375" t="str">
        <f t="shared" si="21"/>
        <v/>
      </c>
      <c r="W375" t="str">
        <f t="shared" si="22"/>
        <v/>
      </c>
      <c r="X375" t="str">
        <f t="shared" si="23"/>
        <v/>
      </c>
    </row>
    <row r="376" spans="1:24" x14ac:dyDescent="0.25">
      <c r="A376" t="s">
        <v>2092</v>
      </c>
      <c r="B376" t="s">
        <v>2093</v>
      </c>
      <c r="C376" t="s">
        <v>2094</v>
      </c>
      <c r="F376" t="s">
        <v>2095</v>
      </c>
      <c r="L376" t="s">
        <v>24</v>
      </c>
      <c r="M376" t="s">
        <v>25</v>
      </c>
      <c r="O376" t="s">
        <v>26</v>
      </c>
      <c r="P376" t="s">
        <v>2096</v>
      </c>
      <c r="Q376" t="s">
        <v>28</v>
      </c>
      <c r="R376" s="3">
        <v>43090.589479166665</v>
      </c>
      <c r="T376" t="s">
        <v>1527</v>
      </c>
      <c r="U376" t="str">
        <f t="shared" si="20"/>
        <v>["ab4a73b6-1c2d-42e1-b4d9-049e04889cf0"]</v>
      </c>
      <c r="V376" t="str">
        <f t="shared" si="21"/>
        <v/>
      </c>
      <c r="W376" t="str">
        <f t="shared" si="22"/>
        <v/>
      </c>
      <c r="X376" t="str">
        <f t="shared" si="23"/>
        <v/>
      </c>
    </row>
    <row r="377" spans="1:24" x14ac:dyDescent="0.25">
      <c r="A377" t="s">
        <v>2097</v>
      </c>
      <c r="B377" t="s">
        <v>2098</v>
      </c>
      <c r="C377" t="s">
        <v>2099</v>
      </c>
      <c r="F377" t="s">
        <v>2100</v>
      </c>
      <c r="L377" t="s">
        <v>24</v>
      </c>
      <c r="M377" t="s">
        <v>25</v>
      </c>
      <c r="O377" t="s">
        <v>26</v>
      </c>
      <c r="P377" t="s">
        <v>2101</v>
      </c>
      <c r="Q377" t="s">
        <v>28</v>
      </c>
      <c r="R377" s="3">
        <v>43074.668263888889</v>
      </c>
      <c r="T377" t="s">
        <v>1648</v>
      </c>
      <c r="U377" t="str">
        <f t="shared" si="20"/>
        <v>["2c54f4d6-5712-4e5a-a025-b7f7a396c39b", "d88a1246-9684-480b-a480-ff63286b35b7"]</v>
      </c>
      <c r="V377" t="str">
        <f t="shared" si="21"/>
        <v/>
      </c>
      <c r="W377" t="str">
        <f t="shared" si="22"/>
        <v/>
      </c>
      <c r="X377" t="str">
        <f t="shared" si="23"/>
        <v/>
      </c>
    </row>
    <row r="378" spans="1:24" ht="409.5" x14ac:dyDescent="0.25">
      <c r="A378" t="s">
        <v>2102</v>
      </c>
      <c r="B378" t="s">
        <v>2103</v>
      </c>
      <c r="C378" t="s">
        <v>2104</v>
      </c>
      <c r="F378" s="2" t="s">
        <v>2105</v>
      </c>
      <c r="L378" t="s">
        <v>24</v>
      </c>
      <c r="M378" t="s">
        <v>25</v>
      </c>
      <c r="O378" t="s">
        <v>26</v>
      </c>
      <c r="P378" t="s">
        <v>2106</v>
      </c>
      <c r="Q378" t="s">
        <v>28</v>
      </c>
      <c r="R378" s="3">
        <v>41235.519421296296</v>
      </c>
      <c r="T378" t="s">
        <v>1233</v>
      </c>
      <c r="U378" t="str">
        <f t="shared" si="20"/>
        <v>["96196887-5a20-4e93-a302-72f306f32c9d"]</v>
      </c>
      <c r="V378" t="str">
        <f t="shared" si="21"/>
        <v/>
      </c>
      <c r="W378" t="str">
        <f t="shared" si="22"/>
        <v/>
      </c>
      <c r="X378" t="str">
        <f t="shared" si="23"/>
        <v/>
      </c>
    </row>
    <row r="379" spans="1:24" x14ac:dyDescent="0.25">
      <c r="A379" t="s">
        <v>2107</v>
      </c>
      <c r="B379" t="s">
        <v>2108</v>
      </c>
      <c r="C379" t="s">
        <v>2109</v>
      </c>
      <c r="F379" t="s">
        <v>2110</v>
      </c>
      <c r="L379" t="s">
        <v>24</v>
      </c>
      <c r="M379" t="s">
        <v>25</v>
      </c>
      <c r="O379" t="s">
        <v>26</v>
      </c>
      <c r="P379" t="s">
        <v>2111</v>
      </c>
      <c r="Q379" t="s">
        <v>28</v>
      </c>
      <c r="R379" s="3">
        <v>41330.426412037035</v>
      </c>
      <c r="T379" t="s">
        <v>2112</v>
      </c>
      <c r="U379" t="str">
        <f t="shared" si="20"/>
        <v>["81c62c6d-d7b9-49db-bfdb-66225b245c78", "9125f584-19ca-4465-807d-2596ca05f3ea"]</v>
      </c>
      <c r="V379" t="str">
        <f t="shared" si="21"/>
        <v/>
      </c>
      <c r="W379" t="str">
        <f t="shared" si="22"/>
        <v/>
      </c>
      <c r="X379" t="str">
        <f t="shared" si="23"/>
        <v/>
      </c>
    </row>
    <row r="380" spans="1:24" ht="409.5" x14ac:dyDescent="0.25">
      <c r="A380" t="s">
        <v>2113</v>
      </c>
      <c r="B380" t="s">
        <v>2114</v>
      </c>
      <c r="C380" t="s">
        <v>2115</v>
      </c>
      <c r="F380" s="2" t="s">
        <v>2116</v>
      </c>
      <c r="L380" t="s">
        <v>24</v>
      </c>
      <c r="M380" t="s">
        <v>25</v>
      </c>
      <c r="O380" t="s">
        <v>26</v>
      </c>
      <c r="P380" t="s">
        <v>2117</v>
      </c>
      <c r="Q380" t="s">
        <v>28</v>
      </c>
      <c r="R380" s="3">
        <v>41334.362071759257</v>
      </c>
      <c r="T380" t="s">
        <v>2118</v>
      </c>
      <c r="U380" t="str">
        <f t="shared" si="20"/>
        <v>["9861f2a3-d9ed-44e6-a2e5-34ac2b3561dd", "8f68fe3e-d27b-440c-ba9f-c1ed3e8f987b", "431d3247-42e4-4c0c-8be2-275352c07e57", "87fc82a0-0042-49c8-b6f9-2602cd3dc17a", "0770d1e6-8c28-4c82-ad3f-5c9e63a8888d", "806c3e987d4a7fb2ae862f923b45046333d7437f", "988368f6-7bd6-4d6a-bf60-1d07ffa6cfc4", "7bc04db0-3718-11e3-aa6e-0800200c9a66", "0f00e9fb-27cd-4c70-b5c8-33a5e79aaffb", "ce4f1d6f-2d98-4736-935c-0cc681412e68", "1a5c0ea3-432f-45e8-a305-19dd147867c0", "3678ee56-4340-4e9d-bd59-379cb3c69103"]</v>
      </c>
      <c r="V380" t="str">
        <f t="shared" si="21"/>
        <v/>
      </c>
      <c r="W380" t="str">
        <f t="shared" si="22"/>
        <v/>
      </c>
      <c r="X380" t="str">
        <f t="shared" si="23"/>
        <v/>
      </c>
    </row>
    <row r="381" spans="1:24" ht="409.5" x14ac:dyDescent="0.25">
      <c r="A381" t="s">
        <v>2119</v>
      </c>
      <c r="B381" t="s">
        <v>2120</v>
      </c>
      <c r="C381" t="s">
        <v>2121</v>
      </c>
      <c r="F381" s="2" t="s">
        <v>2122</v>
      </c>
      <c r="L381" t="s">
        <v>24</v>
      </c>
      <c r="M381" t="s">
        <v>25</v>
      </c>
      <c r="O381" t="s">
        <v>26</v>
      </c>
      <c r="P381" t="s">
        <v>2123</v>
      </c>
      <c r="Q381" t="s">
        <v>28</v>
      </c>
      <c r="R381" s="3">
        <v>41340.612488425926</v>
      </c>
      <c r="T381" t="s">
        <v>201</v>
      </c>
      <c r="U381" t="str">
        <f t="shared" si="20"/>
        <v>["87fc82a0-0042-49c8-b6f9-2602cd3dc17a"]</v>
      </c>
      <c r="V381" t="str">
        <f t="shared" si="21"/>
        <v/>
      </c>
      <c r="W381" t="str">
        <f t="shared" si="22"/>
        <v/>
      </c>
      <c r="X381" t="str">
        <f t="shared" si="23"/>
        <v/>
      </c>
    </row>
    <row r="382" spans="1:24" ht="409.5" x14ac:dyDescent="0.25">
      <c r="A382" t="s">
        <v>2124</v>
      </c>
      <c r="B382" t="s">
        <v>2125</v>
      </c>
      <c r="C382" t="s">
        <v>2126</v>
      </c>
      <c r="F382" s="2" t="s">
        <v>2127</v>
      </c>
      <c r="L382" t="s">
        <v>24</v>
      </c>
      <c r="M382" t="s">
        <v>25</v>
      </c>
      <c r="O382" t="s">
        <v>26</v>
      </c>
      <c r="P382" s="3">
        <v>45454.260092592594</v>
      </c>
      <c r="Q382" t="s">
        <v>28</v>
      </c>
      <c r="R382" s="3">
        <v>41340.645219907405</v>
      </c>
      <c r="T382" t="s">
        <v>99</v>
      </c>
      <c r="U382" t="str">
        <f t="shared" si="20"/>
        <v>["c91a4635-8b7d-43fe-9b27-d95dec8392a7"]</v>
      </c>
      <c r="V382" t="str">
        <f t="shared" si="21"/>
        <v/>
      </c>
      <c r="W382" t="str">
        <f t="shared" si="22"/>
        <v/>
      </c>
      <c r="X382" t="str">
        <f t="shared" si="23"/>
        <v/>
      </c>
    </row>
    <row r="383" spans="1:24" ht="409.5" x14ac:dyDescent="0.25">
      <c r="A383" t="s">
        <v>2128</v>
      </c>
      <c r="B383" t="s">
        <v>2129</v>
      </c>
      <c r="C383" t="s">
        <v>2130</v>
      </c>
      <c r="F383" s="2" t="s">
        <v>2131</v>
      </c>
      <c r="L383" t="s">
        <v>24</v>
      </c>
      <c r="M383" t="s">
        <v>25</v>
      </c>
      <c r="O383" t="s">
        <v>26</v>
      </c>
      <c r="P383" t="s">
        <v>2132</v>
      </c>
      <c r="Q383" t="s">
        <v>28</v>
      </c>
      <c r="R383" s="3">
        <v>43566.530057870368</v>
      </c>
      <c r="T383" t="s">
        <v>29</v>
      </c>
      <c r="U383" t="str">
        <f t="shared" si="20"/>
        <v>[]</v>
      </c>
      <c r="V383" t="str">
        <f t="shared" si="21"/>
        <v/>
      </c>
      <c r="W383" t="str">
        <f t="shared" si="22"/>
        <v/>
      </c>
      <c r="X383" t="str">
        <f t="shared" si="23"/>
        <v/>
      </c>
    </row>
    <row r="384" spans="1:24" x14ac:dyDescent="0.25">
      <c r="A384" t="s">
        <v>2133</v>
      </c>
      <c r="B384" t="s">
        <v>2134</v>
      </c>
      <c r="C384" t="s">
        <v>2135</v>
      </c>
      <c r="F384" t="s">
        <v>2136</v>
      </c>
      <c r="L384" t="s">
        <v>24</v>
      </c>
      <c r="M384" t="s">
        <v>25</v>
      </c>
      <c r="O384" t="s">
        <v>26</v>
      </c>
      <c r="P384" t="s">
        <v>2137</v>
      </c>
      <c r="Q384" t="s">
        <v>28</v>
      </c>
      <c r="R384" s="3">
        <v>43374.008414351854</v>
      </c>
      <c r="T384" t="s">
        <v>2138</v>
      </c>
      <c r="U384" t="str">
        <f t="shared" si="20"/>
        <v>["898afe8c-0297-45d6-b4b5-0cb9e632094b", "7c6e9dbf-487b-4146-a379-19e46642c392", "4e8d237b-8bd4-4483-a85d-431784c543b9"]</v>
      </c>
      <c r="V384" t="str">
        <f t="shared" si="21"/>
        <v/>
      </c>
      <c r="W384" t="str">
        <f t="shared" si="22"/>
        <v/>
      </c>
      <c r="X384" t="str">
        <f t="shared" si="23"/>
        <v/>
      </c>
    </row>
    <row r="385" spans="1:24" ht="409.5" x14ac:dyDescent="0.25">
      <c r="A385" t="s">
        <v>2139</v>
      </c>
      <c r="B385" t="s">
        <v>2140</v>
      </c>
      <c r="C385" t="s">
        <v>2141</v>
      </c>
      <c r="F385" s="2" t="s">
        <v>2142</v>
      </c>
      <c r="L385" t="s">
        <v>24</v>
      </c>
      <c r="M385" t="s">
        <v>25</v>
      </c>
      <c r="O385" t="s">
        <v>26</v>
      </c>
      <c r="P385" t="s">
        <v>2143</v>
      </c>
      <c r="Q385" t="s">
        <v>28</v>
      </c>
      <c r="R385" s="3">
        <v>43279.36546296296</v>
      </c>
      <c r="T385" t="s">
        <v>2144</v>
      </c>
      <c r="U385" t="str">
        <f t="shared" si="20"/>
        <v>["bb86970f-3cef-4f9a-a79b-ff277ea925c8", "25b694ad-802b-4f64-bcbc-09897b0dcbf7", "214a3e63-31aa-47de-a49c-5ea5a80330ed"]</v>
      </c>
      <c r="V385" t="str">
        <f t="shared" si="21"/>
        <v/>
      </c>
      <c r="W385" t="str">
        <f t="shared" si="22"/>
        <v/>
      </c>
      <c r="X385" t="str">
        <f t="shared" si="23"/>
        <v/>
      </c>
    </row>
    <row r="386" spans="1:24" x14ac:dyDescent="0.25">
      <c r="A386" t="s">
        <v>2145</v>
      </c>
      <c r="B386" t="s">
        <v>2146</v>
      </c>
      <c r="C386" t="s">
        <v>2147</v>
      </c>
      <c r="F386" t="s">
        <v>2148</v>
      </c>
      <c r="L386" t="s">
        <v>24</v>
      </c>
      <c r="M386" t="s">
        <v>25</v>
      </c>
      <c r="O386" t="s">
        <v>26</v>
      </c>
      <c r="P386" t="s">
        <v>2149</v>
      </c>
      <c r="Q386" t="s">
        <v>28</v>
      </c>
      <c r="R386" s="3">
        <v>43544.448564814818</v>
      </c>
      <c r="T386" t="s">
        <v>29</v>
      </c>
      <c r="U386" t="str">
        <f t="shared" si="20"/>
        <v>[]</v>
      </c>
      <c r="V386" t="str">
        <f t="shared" si="21"/>
        <v/>
      </c>
      <c r="W386" t="str">
        <f t="shared" si="22"/>
        <v/>
      </c>
      <c r="X386" t="str">
        <f t="shared" si="23"/>
        <v/>
      </c>
    </row>
    <row r="387" spans="1:24" x14ac:dyDescent="0.25">
      <c r="A387" t="s">
        <v>2150</v>
      </c>
      <c r="B387" t="s">
        <v>2151</v>
      </c>
      <c r="C387" t="s">
        <v>2152</v>
      </c>
      <c r="F387" t="s">
        <v>2153</v>
      </c>
      <c r="L387" t="s">
        <v>24</v>
      </c>
      <c r="M387" t="s">
        <v>25</v>
      </c>
      <c r="O387" t="s">
        <v>26</v>
      </c>
      <c r="P387" t="s">
        <v>2154</v>
      </c>
      <c r="Q387" t="s">
        <v>28</v>
      </c>
      <c r="R387" s="3">
        <v>41346.506504629629</v>
      </c>
      <c r="T387" t="s">
        <v>335</v>
      </c>
      <c r="U387" t="str">
        <f t="shared" ref="U387:U450" si="24">LEFT(T387, 1024)</f>
        <v>["3ff63cf5-8d04-4be5-9449-96411ae9fc36"]</v>
      </c>
      <c r="V387" t="str">
        <f t="shared" ref="V387:V450" si="25">MID(T387, 1025, 1024)</f>
        <v/>
      </c>
      <c r="W387" t="str">
        <f t="shared" ref="W387:W450" si="26">MID(T387, 2049, 1024)</f>
        <v/>
      </c>
      <c r="X387" t="str">
        <f t="shared" ref="X387:X450" si="27">MID(T387, 3073, 1024)</f>
        <v/>
      </c>
    </row>
    <row r="388" spans="1:24" ht="409.5" x14ac:dyDescent="0.25">
      <c r="A388" t="s">
        <v>2155</v>
      </c>
      <c r="B388" t="s">
        <v>2156</v>
      </c>
      <c r="C388" t="s">
        <v>2157</v>
      </c>
      <c r="F388" s="2" t="s">
        <v>2158</v>
      </c>
      <c r="L388" t="s">
        <v>24</v>
      </c>
      <c r="M388" t="s">
        <v>25</v>
      </c>
      <c r="O388" t="s">
        <v>26</v>
      </c>
      <c r="P388" t="s">
        <v>2159</v>
      </c>
      <c r="Q388" t="s">
        <v>28</v>
      </c>
      <c r="R388" s="3">
        <v>41346.618472222224</v>
      </c>
      <c r="T388" t="s">
        <v>29</v>
      </c>
      <c r="U388" t="str">
        <f t="shared" si="24"/>
        <v>[]</v>
      </c>
      <c r="V388" t="str">
        <f t="shared" si="25"/>
        <v/>
      </c>
      <c r="W388" t="str">
        <f t="shared" si="26"/>
        <v/>
      </c>
      <c r="X388" t="str">
        <f t="shared" si="27"/>
        <v/>
      </c>
    </row>
    <row r="389" spans="1:24" x14ac:dyDescent="0.25">
      <c r="A389" t="s">
        <v>2160</v>
      </c>
      <c r="B389" t="s">
        <v>2161</v>
      </c>
      <c r="C389" t="s">
        <v>2162</v>
      </c>
      <c r="F389" t="s">
        <v>2163</v>
      </c>
      <c r="L389" t="s">
        <v>24</v>
      </c>
      <c r="M389" t="s">
        <v>25</v>
      </c>
      <c r="O389" t="s">
        <v>26</v>
      </c>
      <c r="P389" t="s">
        <v>2164</v>
      </c>
      <c r="Q389" t="s">
        <v>28</v>
      </c>
      <c r="R389" s="3">
        <v>43942.57540509259</v>
      </c>
      <c r="T389" t="s">
        <v>2165</v>
      </c>
      <c r="U389" t="str">
        <f t="shared" si="24"/>
        <v>["4b71eb3d-7d55-4967-b80d-91a3f220b60c", "785b29a3-ec82-4b5e-9085-cccba063a19c"]</v>
      </c>
      <c r="V389" t="str">
        <f t="shared" si="25"/>
        <v/>
      </c>
      <c r="W389" t="str">
        <f t="shared" si="26"/>
        <v/>
      </c>
      <c r="X389" t="str">
        <f t="shared" si="27"/>
        <v/>
      </c>
    </row>
    <row r="390" spans="1:24" ht="409.5" x14ac:dyDescent="0.25">
      <c r="A390" t="s">
        <v>2166</v>
      </c>
      <c r="B390" t="s">
        <v>2167</v>
      </c>
      <c r="C390" t="s">
        <v>2168</v>
      </c>
      <c r="F390" s="2" t="s">
        <v>2169</v>
      </c>
      <c r="L390" t="s">
        <v>24</v>
      </c>
      <c r="M390" t="s">
        <v>25</v>
      </c>
      <c r="O390" t="s">
        <v>26</v>
      </c>
      <c r="P390" t="s">
        <v>2170</v>
      </c>
      <c r="Q390" t="s">
        <v>28</v>
      </c>
      <c r="R390" s="3">
        <v>41346.516504629632</v>
      </c>
      <c r="T390" t="s">
        <v>29</v>
      </c>
      <c r="U390" t="str">
        <f t="shared" si="24"/>
        <v>[]</v>
      </c>
      <c r="V390" t="str">
        <f t="shared" si="25"/>
        <v/>
      </c>
      <c r="W390" t="str">
        <f t="shared" si="26"/>
        <v/>
      </c>
      <c r="X390" t="str">
        <f t="shared" si="27"/>
        <v/>
      </c>
    </row>
    <row r="391" spans="1:24" ht="409.5" x14ac:dyDescent="0.25">
      <c r="A391" t="s">
        <v>2171</v>
      </c>
      <c r="B391" t="s">
        <v>2172</v>
      </c>
      <c r="C391" t="s">
        <v>2173</v>
      </c>
      <c r="F391" s="2" t="s">
        <v>2174</v>
      </c>
      <c r="L391" t="s">
        <v>24</v>
      </c>
      <c r="M391" t="s">
        <v>25</v>
      </c>
      <c r="O391" t="s">
        <v>26</v>
      </c>
      <c r="P391" t="s">
        <v>2175</v>
      </c>
      <c r="Q391" t="s">
        <v>28</v>
      </c>
      <c r="R391" s="3">
        <v>41396.386689814812</v>
      </c>
      <c r="T391" t="s">
        <v>663</v>
      </c>
      <c r="U391" t="str">
        <f t="shared" si="24"/>
        <v>["71084c02-973d-4544-b804-7ed82bd53027"]</v>
      </c>
      <c r="V391" t="str">
        <f t="shared" si="25"/>
        <v/>
      </c>
      <c r="W391" t="str">
        <f t="shared" si="26"/>
        <v/>
      </c>
      <c r="X391" t="str">
        <f t="shared" si="27"/>
        <v/>
      </c>
    </row>
    <row r="392" spans="1:24" ht="409.5" x14ac:dyDescent="0.25">
      <c r="A392" t="s">
        <v>2176</v>
      </c>
      <c r="B392" t="s">
        <v>2177</v>
      </c>
      <c r="C392" t="s">
        <v>2178</v>
      </c>
      <c r="F392" s="2" t="s">
        <v>2179</v>
      </c>
      <c r="L392" t="s">
        <v>24</v>
      </c>
      <c r="M392" t="s">
        <v>25</v>
      </c>
      <c r="O392" t="s">
        <v>26</v>
      </c>
      <c r="P392" t="s">
        <v>2180</v>
      </c>
      <c r="Q392" t="s">
        <v>28</v>
      </c>
      <c r="R392" s="3">
        <v>41460.447858796295</v>
      </c>
      <c r="T392" t="s">
        <v>2181</v>
      </c>
      <c r="U392" t="str">
        <f t="shared" si="24"/>
        <v>["fde11447-12cf-4333-bed9-c37056551e0c", "d91833f6-da35-4b2e-b7bd-70c342f45cf3", "a6cb8349-0327-400a-879b-df7167080e4a", "32ab3b13-c3a1-461c-b781-5740ac52b27a", "8d64dce7-2940-4bd5-b92e-e4b19ea110c6", "37b73723-af41-446e-8a06-adb7ebed48a1", "aae06e72-4481-4ec6-b0f4-138b6c696f73", "0770d1e6-8c28-4c82-ad3f-5c9e63a8888d", "cb45bff3-65f5-46a2-b340-516f3994a41e"]</v>
      </c>
      <c r="V392" t="str">
        <f t="shared" si="25"/>
        <v/>
      </c>
      <c r="W392" t="str">
        <f t="shared" si="26"/>
        <v/>
      </c>
      <c r="X392" t="str">
        <f t="shared" si="27"/>
        <v/>
      </c>
    </row>
    <row r="393" spans="1:24" x14ac:dyDescent="0.25">
      <c r="A393" t="s">
        <v>2182</v>
      </c>
      <c r="B393" t="s">
        <v>2183</v>
      </c>
      <c r="C393" t="s">
        <v>2184</v>
      </c>
      <c r="F393" t="s">
        <v>2185</v>
      </c>
      <c r="L393" t="s">
        <v>24</v>
      </c>
      <c r="M393" t="s">
        <v>25</v>
      </c>
      <c r="O393" t="s">
        <v>26</v>
      </c>
      <c r="P393" t="s">
        <v>2186</v>
      </c>
      <c r="Q393" t="s">
        <v>28</v>
      </c>
      <c r="R393" s="3">
        <v>43717.592106481483</v>
      </c>
      <c r="T393" t="s">
        <v>2187</v>
      </c>
      <c r="U393" t="str">
        <f t="shared" si="24"/>
        <v>["76c2e577-268f-4a93-bccd-7d5b43b14efd"]</v>
      </c>
      <c r="V393" t="str">
        <f t="shared" si="25"/>
        <v/>
      </c>
      <c r="W393" t="str">
        <f t="shared" si="26"/>
        <v/>
      </c>
      <c r="X393" t="str">
        <f t="shared" si="27"/>
        <v/>
      </c>
    </row>
    <row r="394" spans="1:24" x14ac:dyDescent="0.25">
      <c r="A394" t="s">
        <v>2188</v>
      </c>
      <c r="B394" t="s">
        <v>2189</v>
      </c>
      <c r="C394" t="s">
        <v>2190</v>
      </c>
      <c r="F394" t="s">
        <v>2191</v>
      </c>
      <c r="L394" t="s">
        <v>24</v>
      </c>
      <c r="M394" t="s">
        <v>25</v>
      </c>
      <c r="O394" t="s">
        <v>26</v>
      </c>
      <c r="P394" t="s">
        <v>2192</v>
      </c>
      <c r="Q394" t="s">
        <v>28</v>
      </c>
      <c r="R394" s="3">
        <v>43556.651967592596</v>
      </c>
      <c r="T394" t="s">
        <v>2193</v>
      </c>
      <c r="U394" t="str">
        <f t="shared" si="24"/>
        <v>["bd8b518b-d812-46f9-b367-4c1b660cfc99", "71084c02-973d-4544-b804-7ed82bd53027"]</v>
      </c>
      <c r="V394" t="str">
        <f t="shared" si="25"/>
        <v/>
      </c>
      <c r="W394" t="str">
        <f t="shared" si="26"/>
        <v/>
      </c>
      <c r="X394" t="str">
        <f t="shared" si="27"/>
        <v/>
      </c>
    </row>
    <row r="395" spans="1:24" x14ac:dyDescent="0.25">
      <c r="A395" t="s">
        <v>2194</v>
      </c>
      <c r="B395" t="s">
        <v>2195</v>
      </c>
      <c r="C395" t="s">
        <v>2196</v>
      </c>
      <c r="F395" t="s">
        <v>2197</v>
      </c>
      <c r="L395" t="s">
        <v>24</v>
      </c>
      <c r="M395" t="s">
        <v>25</v>
      </c>
      <c r="O395" t="s">
        <v>26</v>
      </c>
      <c r="P395" t="s">
        <v>2198</v>
      </c>
      <c r="Q395" t="s">
        <v>28</v>
      </c>
      <c r="R395" s="3">
        <v>44000.532500000001</v>
      </c>
      <c r="T395" t="s">
        <v>2199</v>
      </c>
      <c r="U395" t="str">
        <f t="shared" si="24"/>
        <v>["898afe8c-0297-45d6-b4b5-0cb9e632094b", "2c54f4d6-5712-4e5a-a025-b7f7a396c39b"]</v>
      </c>
      <c r="V395" t="str">
        <f t="shared" si="25"/>
        <v/>
      </c>
      <c r="W395" t="str">
        <f t="shared" si="26"/>
        <v/>
      </c>
      <c r="X395" t="str">
        <f t="shared" si="27"/>
        <v/>
      </c>
    </row>
    <row r="396" spans="1:24" x14ac:dyDescent="0.25">
      <c r="A396" t="s">
        <v>2200</v>
      </c>
      <c r="B396" t="s">
        <v>2201</v>
      </c>
      <c r="C396" t="s">
        <v>2202</v>
      </c>
      <c r="F396" t="s">
        <v>2203</v>
      </c>
      <c r="L396" t="s">
        <v>24</v>
      </c>
      <c r="M396" t="s">
        <v>25</v>
      </c>
      <c r="O396" t="s">
        <v>26</v>
      </c>
      <c r="P396" t="s">
        <v>2204</v>
      </c>
      <c r="Q396" t="s">
        <v>28</v>
      </c>
      <c r="R396" s="3">
        <v>43936.428969907407</v>
      </c>
      <c r="T396" t="s">
        <v>2205</v>
      </c>
      <c r="U396" t="str">
        <f t="shared" si="24"/>
        <v>["4b71eb3d-7d55-4967-b80d-91a3f220b60c", "ef8e980b-9644-45d8-b0e9-c6aaf0eff0c0"]</v>
      </c>
      <c r="V396" t="str">
        <f t="shared" si="25"/>
        <v/>
      </c>
      <c r="W396" t="str">
        <f t="shared" si="26"/>
        <v/>
      </c>
      <c r="X396" t="str">
        <f t="shared" si="27"/>
        <v/>
      </c>
    </row>
    <row r="397" spans="1:24" ht="409.5" x14ac:dyDescent="0.25">
      <c r="A397" t="s">
        <v>2206</v>
      </c>
      <c r="B397" t="s">
        <v>2207</v>
      </c>
      <c r="C397" t="s">
        <v>2208</v>
      </c>
      <c r="F397" s="2" t="s">
        <v>2209</v>
      </c>
      <c r="L397" t="s">
        <v>24</v>
      </c>
      <c r="M397" t="s">
        <v>25</v>
      </c>
      <c r="O397" t="s">
        <v>26</v>
      </c>
      <c r="P397" t="s">
        <v>2210</v>
      </c>
      <c r="Q397" t="s">
        <v>28</v>
      </c>
      <c r="R397" s="3">
        <v>44144.618958333333</v>
      </c>
      <c r="T397" t="s">
        <v>2211</v>
      </c>
      <c r="U397" t="str">
        <f t="shared" si="24"/>
        <v>["a5987f3c-3131-4e6e-b91c-fe0756e69926", "2ee6b8bf-6292-413c-bb8b-bd22dbb2ad4b", "e4079286-310c-435a-af2d-64604ba9ade5"]</v>
      </c>
      <c r="V397" t="str">
        <f t="shared" si="25"/>
        <v/>
      </c>
      <c r="W397" t="str">
        <f t="shared" si="26"/>
        <v/>
      </c>
      <c r="X397" t="str">
        <f t="shared" si="27"/>
        <v/>
      </c>
    </row>
    <row r="398" spans="1:24" x14ac:dyDescent="0.25">
      <c r="A398" t="s">
        <v>2212</v>
      </c>
      <c r="B398" t="s">
        <v>2213</v>
      </c>
      <c r="C398" t="s">
        <v>2214</v>
      </c>
      <c r="F398" t="s">
        <v>2215</v>
      </c>
      <c r="L398" t="s">
        <v>24</v>
      </c>
      <c r="M398" t="s">
        <v>25</v>
      </c>
      <c r="O398" t="s">
        <v>26</v>
      </c>
      <c r="P398" t="s">
        <v>2216</v>
      </c>
      <c r="Q398" t="s">
        <v>28</v>
      </c>
      <c r="R398" s="3">
        <v>43761.335729166669</v>
      </c>
      <c r="T398" t="s">
        <v>29</v>
      </c>
      <c r="U398" t="str">
        <f t="shared" si="24"/>
        <v>[]</v>
      </c>
      <c r="V398" t="str">
        <f t="shared" si="25"/>
        <v/>
      </c>
      <c r="W398" t="str">
        <f t="shared" si="26"/>
        <v/>
      </c>
      <c r="X398" t="str">
        <f t="shared" si="27"/>
        <v/>
      </c>
    </row>
    <row r="399" spans="1:24" x14ac:dyDescent="0.25">
      <c r="A399" t="s">
        <v>2217</v>
      </c>
      <c r="B399" t="s">
        <v>2218</v>
      </c>
      <c r="C399" t="s">
        <v>2219</v>
      </c>
      <c r="F399" t="s">
        <v>2220</v>
      </c>
      <c r="L399" t="s">
        <v>24</v>
      </c>
      <c r="M399" t="s">
        <v>25</v>
      </c>
      <c r="O399" t="s">
        <v>26</v>
      </c>
      <c r="P399" t="s">
        <v>2221</v>
      </c>
      <c r="Q399" t="s">
        <v>28</v>
      </c>
      <c r="R399" s="3">
        <v>44188.781145833331</v>
      </c>
      <c r="T399" t="s">
        <v>2222</v>
      </c>
      <c r="U399" t="str">
        <f t="shared" si="24"/>
        <v>["f76ed887-00d6-450f-a158-9f8b1cbbeebf", "6c4f8a28-1909-4096-af71-94b6c08809fc", "2c54f4d6-5712-4e5a-a025-b7f7a396c39b"]</v>
      </c>
      <c r="V399" t="str">
        <f t="shared" si="25"/>
        <v/>
      </c>
      <c r="W399" t="str">
        <f t="shared" si="26"/>
        <v/>
      </c>
      <c r="X399" t="str">
        <f t="shared" si="27"/>
        <v/>
      </c>
    </row>
    <row r="400" spans="1:24" x14ac:dyDescent="0.25">
      <c r="A400" t="s">
        <v>2223</v>
      </c>
      <c r="B400" t="s">
        <v>2224</v>
      </c>
      <c r="C400" t="s">
        <v>2225</v>
      </c>
      <c r="F400" t="s">
        <v>2226</v>
      </c>
      <c r="L400" t="s">
        <v>24</v>
      </c>
      <c r="M400" t="s">
        <v>25</v>
      </c>
      <c r="O400" t="s">
        <v>26</v>
      </c>
      <c r="P400" t="s">
        <v>2227</v>
      </c>
      <c r="Q400" t="s">
        <v>28</v>
      </c>
      <c r="R400" s="3">
        <v>43969.435555555552</v>
      </c>
      <c r="T400" t="s">
        <v>2228</v>
      </c>
      <c r="U400" t="str">
        <f t="shared" si="24"/>
        <v>["feaddbdf-ed07-4c37-818a-db63447d5567"]</v>
      </c>
      <c r="V400" t="str">
        <f t="shared" si="25"/>
        <v/>
      </c>
      <c r="W400" t="str">
        <f t="shared" si="26"/>
        <v/>
      </c>
      <c r="X400" t="str">
        <f t="shared" si="27"/>
        <v/>
      </c>
    </row>
    <row r="401" spans="1:24" x14ac:dyDescent="0.25">
      <c r="A401" t="s">
        <v>2229</v>
      </c>
      <c r="B401" t="s">
        <v>2230</v>
      </c>
      <c r="C401" t="s">
        <v>2231</v>
      </c>
      <c r="F401" t="s">
        <v>2232</v>
      </c>
      <c r="L401" t="s">
        <v>24</v>
      </c>
      <c r="M401" t="s">
        <v>25</v>
      </c>
      <c r="O401" t="s">
        <v>26</v>
      </c>
      <c r="P401" t="s">
        <v>2233</v>
      </c>
      <c r="Q401" t="s">
        <v>28</v>
      </c>
      <c r="R401" s="3">
        <v>44039.579907407409</v>
      </c>
      <c r="T401" t="s">
        <v>29</v>
      </c>
      <c r="U401" t="str">
        <f t="shared" si="24"/>
        <v>[]</v>
      </c>
      <c r="V401" t="str">
        <f t="shared" si="25"/>
        <v/>
      </c>
      <c r="W401" t="str">
        <f t="shared" si="26"/>
        <v/>
      </c>
      <c r="X401" t="str">
        <f t="shared" si="27"/>
        <v/>
      </c>
    </row>
    <row r="402" spans="1:24" x14ac:dyDescent="0.25">
      <c r="A402" t="s">
        <v>2234</v>
      </c>
      <c r="B402" t="s">
        <v>2235</v>
      </c>
      <c r="C402" t="s">
        <v>2236</v>
      </c>
      <c r="F402" t="s">
        <v>2237</v>
      </c>
      <c r="L402" t="s">
        <v>24</v>
      </c>
      <c r="M402" t="s">
        <v>25</v>
      </c>
      <c r="O402" t="s">
        <v>26</v>
      </c>
      <c r="P402" t="s">
        <v>2238</v>
      </c>
      <c r="Q402" t="s">
        <v>28</v>
      </c>
      <c r="R402" s="3">
        <v>43530.523564814815</v>
      </c>
      <c r="T402" t="s">
        <v>433</v>
      </c>
      <c r="U402" t="str">
        <f t="shared" si="24"/>
        <v>["2c54f4d6-5712-4e5a-a025-b7f7a396c39b"]</v>
      </c>
      <c r="V402" t="str">
        <f t="shared" si="25"/>
        <v/>
      </c>
      <c r="W402" t="str">
        <f t="shared" si="26"/>
        <v/>
      </c>
      <c r="X402" t="str">
        <f t="shared" si="27"/>
        <v/>
      </c>
    </row>
    <row r="403" spans="1:24" x14ac:dyDescent="0.25">
      <c r="A403" t="s">
        <v>2239</v>
      </c>
      <c r="B403" t="s">
        <v>2240</v>
      </c>
      <c r="C403" t="s">
        <v>2241</v>
      </c>
      <c r="F403" t="s">
        <v>2242</v>
      </c>
      <c r="L403" t="s">
        <v>24</v>
      </c>
      <c r="M403" t="s">
        <v>25</v>
      </c>
      <c r="O403" t="s">
        <v>26</v>
      </c>
      <c r="P403" t="s">
        <v>2243</v>
      </c>
      <c r="Q403" t="s">
        <v>28</v>
      </c>
      <c r="R403" s="3">
        <v>44218.650810185187</v>
      </c>
      <c r="T403" t="s">
        <v>2244</v>
      </c>
      <c r="U403" t="str">
        <f t="shared" si="24"/>
        <v>["3765ed62-0f9d-49ad-83b0-1405ed833108", "2f6649b6-2b2d-49a9-ab31-6c7e43728001", "ef8e980b-9644-45d8-b0e9-c6aaf0eff0c0", "4b71eb3d-7d55-4967-b80d-91a3f220b60c", "846448a5-a26e-4297-ac08-ad7040af20f1", "d3b85461-fc0d-3639-9aa9-39211c4ecade"]</v>
      </c>
      <c r="V403" t="str">
        <f t="shared" si="25"/>
        <v/>
      </c>
      <c r="W403" t="str">
        <f t="shared" si="26"/>
        <v/>
      </c>
      <c r="X403" t="str">
        <f t="shared" si="27"/>
        <v/>
      </c>
    </row>
    <row r="404" spans="1:24" x14ac:dyDescent="0.25">
      <c r="A404" t="s">
        <v>2245</v>
      </c>
      <c r="B404" t="s">
        <v>2246</v>
      </c>
      <c r="C404" t="s">
        <v>2247</v>
      </c>
      <c r="F404" t="s">
        <v>2248</v>
      </c>
      <c r="L404" t="s">
        <v>24</v>
      </c>
      <c r="M404" t="s">
        <v>25</v>
      </c>
      <c r="O404" t="s">
        <v>26</v>
      </c>
      <c r="P404" t="s">
        <v>2249</v>
      </c>
      <c r="Q404" t="s">
        <v>28</v>
      </c>
      <c r="R404" s="3">
        <v>43442.885879629626</v>
      </c>
      <c r="T404" t="s">
        <v>2250</v>
      </c>
      <c r="U404" t="str">
        <f t="shared" si="24"/>
        <v>["4315e096-f51e-4b56-8235-57be9789a62c", "6d92970a-d698-418b-8576-f3b03dc1a59a", "627a9226-a907-4018-89e3-878002a9d22b", "455cf48c-cdee-4721-a0ed-cd38af7aff0f", "25267974-6d44-455e-b76f-248e29ff7df7", "be2e0197-57b8-4fcf-a144-cb33f7466f3a", "523ba2e4-8c55-4dde-8acf-39e3621811b0", "97ef14eb-f280-48a7-96c0-df03859b06c2", "699a5a9a-348c-4a46-b99e-a23b59f27721", "c5cf2502-7572-4fd1-a836-48b335a2d47d", "5349b414-5069-45be-8869-7d94261d4936", "6f412521-2e9b-44b1-a3e4-8f1358caef63", "898afe8c-0297-45d6-b4b5-0cb9e632094b", "28a7419c-f432-4e1a-b0a6-aa9e71968a14", "87f121a7-eef0-4be9-9372-a5efe5b4d375", "69e6ff08-39af-4764-8de8-b75e5de7295f", "354f9aa0-2f0a-4cdf-9b60-d023da93cc76", "ef474003-b774-4b22-8912-fb95966f44be", "af468794-caa3-4565-8e69-a838332e532d", "88e7ff53-257d-4299-99b5-c659b87b5116", "3df7a50f-108d-40bc-a041-e3092fc50a81", "5de779c2-93fc-4830-8e36-93e9ff1e7f7d", "79e7e34e-4d2f-46be-8a40-24a84b20b1ba", "1039ed7e-97fb-435f-b6cc-f6a105ba5e09", "da8fc842-d9cd-4a8b-9dcf-642ebdbc9049", "fa499042-c486-42a0-973</v>
      </c>
      <c r="V404" t="str">
        <f t="shared" si="25"/>
        <v>a-7211490c1764", "36886c25-6961-4055-96b2-b3e8b138e588", "a73c5b74-a9c9-4caa-a796-e4c832645614", "d0145df8-7f6d-46e1-9bc6-ee7897054104", "6858b208-62bc-424e-9d7b-c89b74d3d3e3", "aa8876c7-9711-4969-b428-34400f2d0dbe", "5983a1bb-62b6-4e26-afd0-dc234b34cf4b", "71a6ca86-228a-4b57-b1bc-c3b887dd009e", "8e420764-a913-4eae-8514-9be858fdb9b3", "bd8b518b-d812-46f9-b367-4c1b660cfc99", "7c6e9dbf-487b-4146-a379-19e46642c392", "c6fc4688-1aca-4363-bd1a-8d14ea08d2f8", "cabad01a-8cc7-48c0-b7e8-ffbe1e685b26", "298e6b5a-21a8-4d56-9484-1bac58c94a26", "826d798e-01d1-48d3-973c-e0e466a63ca8", "f0335765-1ab0-4e94-ab38-f404de4c3b4d", "aab0a0be-89e6-442e-8cf9-e762bd18f76b", "22add642-d849-48ff-9913-8c7ba2d99b46", "625e8422-dedb-47eb-b158-23ba1f07f760", "2c54f4d6-5712-4e5a-a025-b7f7a396c39b", "dcb4ba1d-94c6-48b9-82c9-e315bd0e8f31", "2adc5a86-faa3-4b63-acff-a66128b811b7", "c1ba372b-dba2-4bce-b72e-b5c832eaaf44", "3e62e13e-3955-494a-91b3-f00ab9e84b48", "716d89ce-b0da-4158-abb6-72f562206b37", "5d642d09-8e03-4200-a79b-2a397a6d5d51", "c294da</v>
      </c>
      <c r="W404" t="str">
        <f t="shared" si="26"/>
        <v>25-b556-4bd6-9e1a-343b28279a33", "e7065317-1d57-434a-8428-efa263ecc526", "c7e84d16-449e-4154-a1bd-603b4fae329e", "2ed52078-7e55-40ea-8036-0d89118a06f4", "8d482810-26da-4bbc-8599-6b1fd1ab8743", "98908792-f315-4834-9b5e-20fed66cbe5a", "54fc7750-8540-4c22-8d46-9a6a2641c41a", "47c7ffa9-65ba-41d1-9461-4e5458afd62e", "d2c6f6f5-2236-4217-8361-3297b6369979", "146384fc-3f64-4482-a78a-2f082411a27d", "3ff63cf5-8d04-4be5-9449-96411ae9fc36", "636db558-6bde-477d-a417-0f62636e59bc", "336bbdae-a29d-47c5-8c0d-f51affffd44f", "4f677177-23bc-4f0a-8dbf-578762c8d976", "fdcaabe5-0efd-4701-8fd9-49935c0d9cff", "d13d3866-2c68-4353-9a41-c29ebf1a3abc", "aa12dc22-ba50-42a0-bda1-30d41c64d5eb", "2cbdf333-97e9-4c91-b846-17a8e8c167d8"]</v>
      </c>
      <c r="X404" t="str">
        <f t="shared" si="27"/>
        <v/>
      </c>
    </row>
    <row r="405" spans="1:24" x14ac:dyDescent="0.25">
      <c r="A405" t="s">
        <v>2251</v>
      </c>
      <c r="B405" t="s">
        <v>2252</v>
      </c>
      <c r="C405" t="s">
        <v>2253</v>
      </c>
      <c r="F405" t="s">
        <v>2254</v>
      </c>
      <c r="L405" t="s">
        <v>24</v>
      </c>
      <c r="M405" t="s">
        <v>25</v>
      </c>
      <c r="O405" t="s">
        <v>26</v>
      </c>
      <c r="P405" t="s">
        <v>2255</v>
      </c>
      <c r="Q405" t="s">
        <v>28</v>
      </c>
      <c r="R405" s="3">
        <v>43314.65047453704</v>
      </c>
      <c r="T405" t="s">
        <v>2256</v>
      </c>
      <c r="U405" t="str">
        <f t="shared" si="24"/>
        <v>["1039ed7e-97fb-435f-b6cc-f6a105ba5e09", "72fbf32e-c8c3-4914-92a1-66dc2439a114", "3fefc838-791d-4dde-975b-a4131a54e7c5"]</v>
      </c>
      <c r="V405" t="str">
        <f t="shared" si="25"/>
        <v/>
      </c>
      <c r="W405" t="str">
        <f t="shared" si="26"/>
        <v/>
      </c>
      <c r="X405" t="str">
        <f t="shared" si="27"/>
        <v/>
      </c>
    </row>
    <row r="406" spans="1:24" x14ac:dyDescent="0.25">
      <c r="A406" t="s">
        <v>2257</v>
      </c>
      <c r="B406" t="s">
        <v>2258</v>
      </c>
      <c r="C406" t="s">
        <v>2259</v>
      </c>
      <c r="F406" t="s">
        <v>2260</v>
      </c>
      <c r="L406" t="s">
        <v>24</v>
      </c>
      <c r="M406" t="s">
        <v>25</v>
      </c>
      <c r="O406" t="s">
        <v>26</v>
      </c>
      <c r="P406" t="s">
        <v>2261</v>
      </c>
      <c r="Q406" t="s">
        <v>28</v>
      </c>
      <c r="R406" s="3">
        <v>43955.350775462961</v>
      </c>
      <c r="T406" t="s">
        <v>1967</v>
      </c>
      <c r="U406" t="str">
        <f t="shared" si="24"/>
        <v>["4b71eb3d-7d55-4967-b80d-91a3f220b60c"]</v>
      </c>
      <c r="V406" t="str">
        <f t="shared" si="25"/>
        <v/>
      </c>
      <c r="W406" t="str">
        <f t="shared" si="26"/>
        <v/>
      </c>
      <c r="X406" t="str">
        <f t="shared" si="27"/>
        <v/>
      </c>
    </row>
    <row r="407" spans="1:24" x14ac:dyDescent="0.25">
      <c r="A407" t="s">
        <v>2262</v>
      </c>
      <c r="B407" t="s">
        <v>2263</v>
      </c>
      <c r="C407" t="s">
        <v>2264</v>
      </c>
      <c r="F407" t="s">
        <v>2265</v>
      </c>
      <c r="L407" t="s">
        <v>24</v>
      </c>
      <c r="M407" t="s">
        <v>25</v>
      </c>
      <c r="O407" t="s">
        <v>26</v>
      </c>
      <c r="P407" t="s">
        <v>2266</v>
      </c>
      <c r="Q407" t="s">
        <v>28</v>
      </c>
      <c r="R407" s="3">
        <v>43558.521527777775</v>
      </c>
      <c r="T407" t="s">
        <v>2267</v>
      </c>
      <c r="U407" t="str">
        <f t="shared" si="24"/>
        <v>["2c54f4d6-5712-4e5a-a025-b7f7a396c39b", "ca996648-ed34-3dcd-a99f-68619f680241", "81f390f9-9b42-3a72-ad9b-e11a4dbebab0", "566c99be-b436-365e-af4f-27be6c536358"]</v>
      </c>
      <c r="V407" t="str">
        <f t="shared" si="25"/>
        <v/>
      </c>
      <c r="W407" t="str">
        <f t="shared" si="26"/>
        <v/>
      </c>
      <c r="X407" t="str">
        <f t="shared" si="27"/>
        <v/>
      </c>
    </row>
    <row r="408" spans="1:24" ht="409.5" x14ac:dyDescent="0.25">
      <c r="A408" t="s">
        <v>2268</v>
      </c>
      <c r="B408" t="s">
        <v>2269</v>
      </c>
      <c r="C408" t="s">
        <v>2270</v>
      </c>
      <c r="F408" s="2" t="s">
        <v>2271</v>
      </c>
      <c r="L408" t="s">
        <v>24</v>
      </c>
      <c r="M408" t="s">
        <v>25</v>
      </c>
      <c r="O408" t="s">
        <v>26</v>
      </c>
      <c r="P408" t="s">
        <v>2272</v>
      </c>
      <c r="Q408" t="s">
        <v>28</v>
      </c>
      <c r="R408" s="3">
        <v>43789.395416666666</v>
      </c>
      <c r="T408" t="s">
        <v>2273</v>
      </c>
      <c r="U408" t="str">
        <f t="shared" si="24"/>
        <v>["7562f659-398d-46d7-9167-7f9ccaa00263", "884c0d9f-f790-41c2-a2a5-351b7c434896"]</v>
      </c>
      <c r="V408" t="str">
        <f t="shared" si="25"/>
        <v/>
      </c>
      <c r="W408" t="str">
        <f t="shared" si="26"/>
        <v/>
      </c>
      <c r="X408" t="str">
        <f t="shared" si="27"/>
        <v/>
      </c>
    </row>
    <row r="409" spans="1:24" ht="409.5" x14ac:dyDescent="0.25">
      <c r="A409" t="s">
        <v>2274</v>
      </c>
      <c r="B409" t="s">
        <v>2275</v>
      </c>
      <c r="C409" t="s">
        <v>2276</v>
      </c>
      <c r="F409" s="2" t="s">
        <v>2277</v>
      </c>
      <c r="L409" t="s">
        <v>24</v>
      </c>
      <c r="M409" t="s">
        <v>25</v>
      </c>
      <c r="O409" t="s">
        <v>26</v>
      </c>
      <c r="P409" t="s">
        <v>2278</v>
      </c>
      <c r="Q409" t="s">
        <v>28</v>
      </c>
      <c r="R409" s="3">
        <v>43395.337673611109</v>
      </c>
      <c r="T409" t="s">
        <v>433</v>
      </c>
      <c r="U409" t="str">
        <f t="shared" si="24"/>
        <v>["2c54f4d6-5712-4e5a-a025-b7f7a396c39b"]</v>
      </c>
      <c r="V409" t="str">
        <f t="shared" si="25"/>
        <v/>
      </c>
      <c r="W409" t="str">
        <f t="shared" si="26"/>
        <v/>
      </c>
      <c r="X409" t="str">
        <f t="shared" si="27"/>
        <v/>
      </c>
    </row>
    <row r="410" spans="1:24" ht="409.5" x14ac:dyDescent="0.25">
      <c r="A410" t="s">
        <v>2279</v>
      </c>
      <c r="B410" t="s">
        <v>2280</v>
      </c>
      <c r="C410" t="s">
        <v>2281</v>
      </c>
      <c r="F410" s="2" t="s">
        <v>2282</v>
      </c>
      <c r="L410" t="s">
        <v>24</v>
      </c>
      <c r="M410" t="s">
        <v>25</v>
      </c>
      <c r="O410" t="s">
        <v>26</v>
      </c>
      <c r="P410" t="s">
        <v>2283</v>
      </c>
      <c r="Q410" t="s">
        <v>28</v>
      </c>
      <c r="R410" s="3">
        <v>43920.596701388888</v>
      </c>
      <c r="T410" t="s">
        <v>2048</v>
      </c>
      <c r="U410" t="str">
        <f t="shared" si="24"/>
        <v>["d9ae1245-158e-4d79-86a4-2d9b3defbedc"]</v>
      </c>
      <c r="V410" t="str">
        <f t="shared" si="25"/>
        <v/>
      </c>
      <c r="W410" t="str">
        <f t="shared" si="26"/>
        <v/>
      </c>
      <c r="X410" t="str">
        <f t="shared" si="27"/>
        <v/>
      </c>
    </row>
    <row r="411" spans="1:24" ht="409.5" x14ac:dyDescent="0.25">
      <c r="A411" t="s">
        <v>2284</v>
      </c>
      <c r="B411" t="s">
        <v>2285</v>
      </c>
      <c r="C411" t="s">
        <v>2286</v>
      </c>
      <c r="F411" s="2" t="s">
        <v>2287</v>
      </c>
      <c r="L411" t="s">
        <v>24</v>
      </c>
      <c r="M411" t="s">
        <v>25</v>
      </c>
      <c r="O411" t="s">
        <v>26</v>
      </c>
      <c r="P411" t="s">
        <v>2288</v>
      </c>
      <c r="Q411" t="s">
        <v>28</v>
      </c>
      <c r="R411" s="3">
        <v>43902.455104166664</v>
      </c>
      <c r="T411" t="s">
        <v>99</v>
      </c>
      <c r="U411" t="str">
        <f t="shared" si="24"/>
        <v>["c91a4635-8b7d-43fe-9b27-d95dec8392a7"]</v>
      </c>
      <c r="V411" t="str">
        <f t="shared" si="25"/>
        <v/>
      </c>
      <c r="W411" t="str">
        <f t="shared" si="26"/>
        <v/>
      </c>
      <c r="X411" t="str">
        <f t="shared" si="27"/>
        <v/>
      </c>
    </row>
    <row r="412" spans="1:24" x14ac:dyDescent="0.25">
      <c r="A412" t="s">
        <v>2289</v>
      </c>
      <c r="B412" t="s">
        <v>2290</v>
      </c>
      <c r="C412" t="s">
        <v>2291</v>
      </c>
      <c r="F412" t="s">
        <v>2292</v>
      </c>
      <c r="L412" t="s">
        <v>24</v>
      </c>
      <c r="M412" t="s">
        <v>25</v>
      </c>
      <c r="O412" t="s">
        <v>26</v>
      </c>
      <c r="P412" t="s">
        <v>2293</v>
      </c>
      <c r="Q412" t="s">
        <v>28</v>
      </c>
      <c r="R412" s="3">
        <v>43496.589618055557</v>
      </c>
      <c r="T412" t="s">
        <v>347</v>
      </c>
      <c r="U412" t="str">
        <f t="shared" si="24"/>
        <v>["298e6b5a-21a8-4d56-9484-1bac58c94a26"]</v>
      </c>
      <c r="V412" t="str">
        <f t="shared" si="25"/>
        <v/>
      </c>
      <c r="W412" t="str">
        <f t="shared" si="26"/>
        <v/>
      </c>
      <c r="X412" t="str">
        <f t="shared" si="27"/>
        <v/>
      </c>
    </row>
    <row r="413" spans="1:24" x14ac:dyDescent="0.25">
      <c r="A413" t="s">
        <v>2294</v>
      </c>
      <c r="B413" t="s">
        <v>2295</v>
      </c>
      <c r="C413" t="s">
        <v>2296</v>
      </c>
      <c r="F413" t="s">
        <v>2297</v>
      </c>
      <c r="L413" t="s">
        <v>24</v>
      </c>
      <c r="M413" t="s">
        <v>25</v>
      </c>
      <c r="O413" t="s">
        <v>26</v>
      </c>
      <c r="P413" t="s">
        <v>2298</v>
      </c>
      <c r="Q413" t="s">
        <v>28</v>
      </c>
      <c r="R413" s="3">
        <v>43875.632256944446</v>
      </c>
      <c r="T413" t="s">
        <v>2299</v>
      </c>
      <c r="U413" t="str">
        <f t="shared" si="24"/>
        <v>["e3a62956-16ba-4368-bc06-852796c261cb"]</v>
      </c>
      <c r="V413" t="str">
        <f t="shared" si="25"/>
        <v/>
      </c>
      <c r="W413" t="str">
        <f t="shared" si="26"/>
        <v/>
      </c>
      <c r="X413" t="str">
        <f t="shared" si="27"/>
        <v/>
      </c>
    </row>
    <row r="414" spans="1:24" ht="409.5" x14ac:dyDescent="0.25">
      <c r="A414" t="s">
        <v>2300</v>
      </c>
      <c r="B414" t="s">
        <v>2301</v>
      </c>
      <c r="C414" t="s">
        <v>2302</v>
      </c>
      <c r="F414" s="2" t="s">
        <v>2303</v>
      </c>
      <c r="L414" t="s">
        <v>24</v>
      </c>
      <c r="M414" t="s">
        <v>25</v>
      </c>
      <c r="O414" t="s">
        <v>26</v>
      </c>
      <c r="P414" t="s">
        <v>2304</v>
      </c>
      <c r="Q414" t="s">
        <v>28</v>
      </c>
      <c r="R414" s="3">
        <v>43679.851342592592</v>
      </c>
      <c r="T414" t="s">
        <v>2305</v>
      </c>
      <c r="U414" t="str">
        <f t="shared" si="24"/>
        <v>["523ba2e4-8c55-4dde-8acf-39e3621811b0", "31416a3d-5a44-4f78-8b2c-765a2738aacc"]</v>
      </c>
      <c r="V414" t="str">
        <f t="shared" si="25"/>
        <v/>
      </c>
      <c r="W414" t="str">
        <f t="shared" si="26"/>
        <v/>
      </c>
      <c r="X414" t="str">
        <f t="shared" si="27"/>
        <v/>
      </c>
    </row>
    <row r="415" spans="1:24" x14ac:dyDescent="0.25">
      <c r="A415" t="s">
        <v>2306</v>
      </c>
      <c r="B415" t="s">
        <v>2307</v>
      </c>
      <c r="C415" t="s">
        <v>2308</v>
      </c>
      <c r="F415" t="s">
        <v>2309</v>
      </c>
      <c r="L415" t="s">
        <v>24</v>
      </c>
      <c r="M415" t="s">
        <v>25</v>
      </c>
      <c r="O415" t="s">
        <v>26</v>
      </c>
      <c r="P415" t="s">
        <v>2310</v>
      </c>
      <c r="Q415" t="s">
        <v>28</v>
      </c>
      <c r="R415" s="3">
        <v>43789.389120370368</v>
      </c>
      <c r="T415" t="s">
        <v>1879</v>
      </c>
      <c r="U415" t="str">
        <f t="shared" si="24"/>
        <v>["b694010f-992a-4d8e-b4ab-b20d0f037ff0"]</v>
      </c>
      <c r="V415" t="str">
        <f t="shared" si="25"/>
        <v/>
      </c>
      <c r="W415" t="str">
        <f t="shared" si="26"/>
        <v/>
      </c>
      <c r="X415" t="str">
        <f t="shared" si="27"/>
        <v/>
      </c>
    </row>
    <row r="416" spans="1:24" x14ac:dyDescent="0.25">
      <c r="A416" t="s">
        <v>2311</v>
      </c>
      <c r="B416" t="s">
        <v>2312</v>
      </c>
      <c r="C416" t="s">
        <v>2313</v>
      </c>
      <c r="F416" t="s">
        <v>2314</v>
      </c>
      <c r="L416" t="s">
        <v>24</v>
      </c>
      <c r="M416" t="s">
        <v>25</v>
      </c>
      <c r="O416" t="s">
        <v>26</v>
      </c>
      <c r="P416" t="s">
        <v>2315</v>
      </c>
      <c r="Q416" t="s">
        <v>28</v>
      </c>
      <c r="R416" s="3">
        <v>43962.423425925925</v>
      </c>
      <c r="T416" t="s">
        <v>1967</v>
      </c>
      <c r="U416" t="str">
        <f t="shared" si="24"/>
        <v>["4b71eb3d-7d55-4967-b80d-91a3f220b60c"]</v>
      </c>
      <c r="V416" t="str">
        <f t="shared" si="25"/>
        <v/>
      </c>
      <c r="W416" t="str">
        <f t="shared" si="26"/>
        <v/>
      </c>
      <c r="X416" t="str">
        <f t="shared" si="27"/>
        <v/>
      </c>
    </row>
    <row r="417" spans="1:24" x14ac:dyDescent="0.25">
      <c r="A417" t="s">
        <v>2316</v>
      </c>
      <c r="B417" t="s">
        <v>2317</v>
      </c>
      <c r="C417" t="s">
        <v>2318</v>
      </c>
      <c r="F417" t="s">
        <v>2319</v>
      </c>
      <c r="L417" t="s">
        <v>24</v>
      </c>
      <c r="M417" t="s">
        <v>25</v>
      </c>
      <c r="O417" t="s">
        <v>26</v>
      </c>
      <c r="P417" t="s">
        <v>2320</v>
      </c>
      <c r="Q417" t="s">
        <v>28</v>
      </c>
      <c r="R417" s="3">
        <v>43801.630393518521</v>
      </c>
      <c r="T417" t="s">
        <v>2321</v>
      </c>
      <c r="U417" t="str">
        <f t="shared" si="24"/>
        <v>["ab4a73b6-1c2d-42e1-b4d9-049e04889cf0", "522d3045-0b37-48d0-b868-57c99726b1c4"]</v>
      </c>
      <c r="V417" t="str">
        <f t="shared" si="25"/>
        <v/>
      </c>
      <c r="W417" t="str">
        <f t="shared" si="26"/>
        <v/>
      </c>
      <c r="X417" t="str">
        <f t="shared" si="27"/>
        <v/>
      </c>
    </row>
    <row r="418" spans="1:24" x14ac:dyDescent="0.25">
      <c r="A418" t="s">
        <v>2322</v>
      </c>
      <c r="B418" t="s">
        <v>2323</v>
      </c>
      <c r="C418" t="s">
        <v>2324</v>
      </c>
      <c r="F418" t="s">
        <v>2325</v>
      </c>
      <c r="L418" t="s">
        <v>24</v>
      </c>
      <c r="M418" t="s">
        <v>25</v>
      </c>
      <c r="O418" t="s">
        <v>26</v>
      </c>
      <c r="P418" t="s">
        <v>2326</v>
      </c>
      <c r="Q418" t="s">
        <v>28</v>
      </c>
      <c r="R418" s="3">
        <v>43756.607719907406</v>
      </c>
      <c r="T418" t="s">
        <v>1879</v>
      </c>
      <c r="U418" t="str">
        <f t="shared" si="24"/>
        <v>["b694010f-992a-4d8e-b4ab-b20d0f037ff0"]</v>
      </c>
      <c r="V418" t="str">
        <f t="shared" si="25"/>
        <v/>
      </c>
      <c r="W418" t="str">
        <f t="shared" si="26"/>
        <v/>
      </c>
      <c r="X418" t="str">
        <f t="shared" si="27"/>
        <v/>
      </c>
    </row>
    <row r="419" spans="1:24" x14ac:dyDescent="0.25">
      <c r="A419" t="s">
        <v>2327</v>
      </c>
      <c r="B419" t="s">
        <v>2328</v>
      </c>
      <c r="C419" t="s">
        <v>2329</v>
      </c>
      <c r="F419" t="s">
        <v>2330</v>
      </c>
      <c r="L419" t="s">
        <v>24</v>
      </c>
      <c r="M419" t="s">
        <v>25</v>
      </c>
      <c r="O419" t="s">
        <v>26</v>
      </c>
      <c r="P419" t="s">
        <v>2331</v>
      </c>
      <c r="Q419" t="s">
        <v>28</v>
      </c>
      <c r="R419" s="3">
        <v>43837.688263888886</v>
      </c>
      <c r="T419" t="s">
        <v>2332</v>
      </c>
      <c r="U419" t="str">
        <f t="shared" si="24"/>
        <v>["25267974-6d44-455e-b76f-248e29ff7df7", "2ed7403c-5acc-499f-a317-a911da03d9da"]</v>
      </c>
      <c r="V419" t="str">
        <f t="shared" si="25"/>
        <v/>
      </c>
      <c r="W419" t="str">
        <f t="shared" si="26"/>
        <v/>
      </c>
      <c r="X419" t="str">
        <f t="shared" si="27"/>
        <v/>
      </c>
    </row>
    <row r="420" spans="1:24" ht="409.5" x14ac:dyDescent="0.25">
      <c r="A420" t="s">
        <v>2333</v>
      </c>
      <c r="B420" t="s">
        <v>2334</v>
      </c>
      <c r="C420" t="s">
        <v>2335</v>
      </c>
      <c r="F420" s="2" t="s">
        <v>2336</v>
      </c>
      <c r="L420" t="s">
        <v>24</v>
      </c>
      <c r="M420" t="s">
        <v>25</v>
      </c>
      <c r="O420" t="s">
        <v>26</v>
      </c>
      <c r="P420" t="s">
        <v>2337</v>
      </c>
      <c r="Q420" t="s">
        <v>28</v>
      </c>
      <c r="R420" s="3">
        <v>43496.594490740739</v>
      </c>
      <c r="T420" t="s">
        <v>590</v>
      </c>
      <c r="U420" t="str">
        <f t="shared" si="24"/>
        <v>["522d3045-0b37-48d0-b868-57c99726b1c4", "9c203fec-dc0d-412c-a7a3-7fd77d0346f1"]</v>
      </c>
      <c r="V420" t="str">
        <f t="shared" si="25"/>
        <v/>
      </c>
      <c r="W420" t="str">
        <f t="shared" si="26"/>
        <v/>
      </c>
      <c r="X420" t="str">
        <f t="shared" si="27"/>
        <v/>
      </c>
    </row>
    <row r="421" spans="1:24" x14ac:dyDescent="0.25">
      <c r="A421" t="s">
        <v>2338</v>
      </c>
      <c r="B421" t="s">
        <v>2339</v>
      </c>
      <c r="C421" t="s">
        <v>2340</v>
      </c>
      <c r="F421" t="s">
        <v>2341</v>
      </c>
      <c r="L421" t="s">
        <v>24</v>
      </c>
      <c r="M421" t="s">
        <v>25</v>
      </c>
      <c r="O421" t="s">
        <v>26</v>
      </c>
      <c r="P421" t="s">
        <v>2342</v>
      </c>
      <c r="Q421" t="s">
        <v>28</v>
      </c>
      <c r="R421" s="3">
        <v>43886.499849537038</v>
      </c>
      <c r="T421" t="s">
        <v>2343</v>
      </c>
      <c r="U421" t="str">
        <f t="shared" si="24"/>
        <v>["d88a1246-9684-480b-a480-ff63286b35b7", "7137fb45-733e-4e1c-b0ce-fedb8b7b3c67"]</v>
      </c>
      <c r="V421" t="str">
        <f t="shared" si="25"/>
        <v/>
      </c>
      <c r="W421" t="str">
        <f t="shared" si="26"/>
        <v/>
      </c>
      <c r="X421" t="str">
        <f t="shared" si="27"/>
        <v/>
      </c>
    </row>
    <row r="422" spans="1:24" x14ac:dyDescent="0.25">
      <c r="A422" t="s">
        <v>2344</v>
      </c>
      <c r="B422" t="s">
        <v>2345</v>
      </c>
      <c r="C422" t="s">
        <v>2346</v>
      </c>
      <c r="F422" t="s">
        <v>2347</v>
      </c>
      <c r="L422" t="s">
        <v>24</v>
      </c>
      <c r="M422" t="s">
        <v>25</v>
      </c>
      <c r="O422" t="s">
        <v>26</v>
      </c>
      <c r="P422" t="s">
        <v>2348</v>
      </c>
      <c r="Q422" t="s">
        <v>28</v>
      </c>
      <c r="R422" s="3">
        <v>43745.353032407409</v>
      </c>
      <c r="T422" t="s">
        <v>2349</v>
      </c>
      <c r="U422" t="str">
        <f t="shared" si="24"/>
        <v>["8becadda-124e-43f3-900e-f1ab685574e5", "566c99be-b436-365e-af4f-27be6c536358"]</v>
      </c>
      <c r="V422" t="str">
        <f t="shared" si="25"/>
        <v/>
      </c>
      <c r="W422" t="str">
        <f t="shared" si="26"/>
        <v/>
      </c>
      <c r="X422" t="str">
        <f t="shared" si="27"/>
        <v/>
      </c>
    </row>
    <row r="423" spans="1:24" x14ac:dyDescent="0.25">
      <c r="A423" t="s">
        <v>2350</v>
      </c>
      <c r="B423" t="s">
        <v>2351</v>
      </c>
      <c r="C423" t="s">
        <v>2352</v>
      </c>
      <c r="F423" t="s">
        <v>2353</v>
      </c>
      <c r="L423" t="s">
        <v>24</v>
      </c>
      <c r="M423" t="s">
        <v>25</v>
      </c>
      <c r="O423" t="s">
        <v>26</v>
      </c>
      <c r="P423" t="s">
        <v>2354</v>
      </c>
      <c r="Q423" t="s">
        <v>28</v>
      </c>
      <c r="R423" s="3">
        <v>43956.394050925926</v>
      </c>
      <c r="T423" t="s">
        <v>674</v>
      </c>
      <c r="U423" t="str">
        <f t="shared" si="24"/>
        <v>["522d3045-0b37-48d0-b868-57c99726b1c4"]</v>
      </c>
      <c r="V423" t="str">
        <f t="shared" si="25"/>
        <v/>
      </c>
      <c r="W423" t="str">
        <f t="shared" si="26"/>
        <v/>
      </c>
      <c r="X423" t="str">
        <f t="shared" si="27"/>
        <v/>
      </c>
    </row>
    <row r="424" spans="1:24" ht="409.5" x14ac:dyDescent="0.25">
      <c r="A424" t="s">
        <v>2355</v>
      </c>
      <c r="B424" t="s">
        <v>2356</v>
      </c>
      <c r="C424" t="s">
        <v>2357</v>
      </c>
      <c r="F424" s="2" t="s">
        <v>2358</v>
      </c>
      <c r="L424" t="s">
        <v>24</v>
      </c>
      <c r="M424" t="s">
        <v>25</v>
      </c>
      <c r="O424" t="s">
        <v>26</v>
      </c>
      <c r="P424" t="s">
        <v>2359</v>
      </c>
      <c r="Q424" t="s">
        <v>28</v>
      </c>
      <c r="R424" s="3">
        <v>44005.672233796293</v>
      </c>
      <c r="T424" t="s">
        <v>2360</v>
      </c>
      <c r="U424" t="str">
        <f t="shared" si="24"/>
        <v>["a2c49245-23b2-46e1-acc7-c5a78913a090", "41a809d9-0b61-4991-86b8-74dc07973af3", "78b227dc-78f6-4085-b4fb-772e040a14e0", "6bd1abfe-3dbf-4e04-b8cc-07114eb8810c", "009b7802-0b04-4fee-8dac-3922bd5098ae", "76efecc9-e509-4c6b-849b-f742ed3e258a", "86dd87bd-7426-40c5-946b-62b2af638aab", "8df6b76b-a1c8-45a4-ab7b-3ff8676e4b04", "9d58be92-32eb-43a7-9f38-dff44078864e", "505019f6-4c66-4ce4-9700-a5ed3cf664c3", "39e2a593-d508-4f64-8a04-8d6dbf730f9d", "3ad7b1eb-cac6-47b2-b957-ffba17606425", "fde58043-87ff-44b0-b6b0-3d089adfba4c", "23602b0b-c7b0-4f10-9910-7ee5329433bc", "ef47695d-7aa3-41cf-8c4e-d76aa4dae7d5", "9543be56-7309-4788-8de2-fbdd5006282b", "7fffba00-9b87-4fb4-8c71-68399d2a4291", "5e84d2ab-b5ca-48c3-b15f-3d71e4bca4ee", "3a520b08-7351-479c-9232-628727066f55", "e5f51f9d-9ddb-4fc7-95a8-ef0d9eb2144d", "7e80bc4b-3537-42fd-881f-d9290b34782e", "fd56466b-ced8-47ab-8d1a-9ce798948bad"]</v>
      </c>
      <c r="V424" t="str">
        <f t="shared" si="25"/>
        <v/>
      </c>
      <c r="W424" t="str">
        <f t="shared" si="26"/>
        <v/>
      </c>
      <c r="X424" t="str">
        <f t="shared" si="27"/>
        <v/>
      </c>
    </row>
    <row r="425" spans="1:24" x14ac:dyDescent="0.25">
      <c r="A425" t="s">
        <v>2361</v>
      </c>
      <c r="B425" t="s">
        <v>2362</v>
      </c>
      <c r="C425" t="s">
        <v>2363</v>
      </c>
      <c r="F425" t="s">
        <v>2364</v>
      </c>
      <c r="L425" t="s">
        <v>24</v>
      </c>
      <c r="M425" t="s">
        <v>25</v>
      </c>
      <c r="O425" t="s">
        <v>26</v>
      </c>
      <c r="P425" t="s">
        <v>2365</v>
      </c>
      <c r="Q425" t="s">
        <v>28</v>
      </c>
      <c r="R425" s="3">
        <v>43924.540208333332</v>
      </c>
      <c r="T425" t="s">
        <v>433</v>
      </c>
      <c r="U425" t="str">
        <f t="shared" si="24"/>
        <v>["2c54f4d6-5712-4e5a-a025-b7f7a396c39b"]</v>
      </c>
      <c r="V425" t="str">
        <f t="shared" si="25"/>
        <v/>
      </c>
      <c r="W425" t="str">
        <f t="shared" si="26"/>
        <v/>
      </c>
      <c r="X425" t="str">
        <f t="shared" si="27"/>
        <v/>
      </c>
    </row>
    <row r="426" spans="1:24" x14ac:dyDescent="0.25">
      <c r="A426" t="s">
        <v>2366</v>
      </c>
      <c r="B426" t="s">
        <v>2367</v>
      </c>
      <c r="C426" t="s">
        <v>2368</v>
      </c>
      <c r="F426" t="s">
        <v>2369</v>
      </c>
      <c r="L426" t="s">
        <v>24</v>
      </c>
      <c r="M426" t="s">
        <v>25</v>
      </c>
      <c r="O426" t="s">
        <v>26</v>
      </c>
      <c r="P426" t="s">
        <v>2370</v>
      </c>
      <c r="Q426" t="s">
        <v>28</v>
      </c>
      <c r="R426" s="3">
        <v>43739.707326388889</v>
      </c>
      <c r="T426" t="s">
        <v>2371</v>
      </c>
      <c r="U426" t="str">
        <f t="shared" si="24"/>
        <v>["51bdc6dc-25ae-41de-b8f3-938f9056af62"]</v>
      </c>
      <c r="V426" t="str">
        <f t="shared" si="25"/>
        <v/>
      </c>
      <c r="W426" t="str">
        <f t="shared" si="26"/>
        <v/>
      </c>
      <c r="X426" t="str">
        <f t="shared" si="27"/>
        <v/>
      </c>
    </row>
    <row r="427" spans="1:24" ht="409.5" x14ac:dyDescent="0.25">
      <c r="A427" t="s">
        <v>2372</v>
      </c>
      <c r="B427" t="s">
        <v>2373</v>
      </c>
      <c r="C427" t="s">
        <v>2241</v>
      </c>
      <c r="F427" s="2" t="s">
        <v>2374</v>
      </c>
      <c r="L427" t="s">
        <v>24</v>
      </c>
      <c r="M427" t="s">
        <v>25</v>
      </c>
      <c r="O427" t="s">
        <v>26</v>
      </c>
      <c r="P427" t="s">
        <v>2375</v>
      </c>
      <c r="Q427" t="s">
        <v>28</v>
      </c>
      <c r="R427" s="3">
        <v>43935.785046296296</v>
      </c>
      <c r="T427" t="s">
        <v>2376</v>
      </c>
      <c r="U427" t="str">
        <f t="shared" si="24"/>
        <v>["ef8e980b-9644-45d8-b0e9-c6aaf0eff0c0", "d960f393-0a19-43f7-b2f1-2a79d9fc6fdd"]</v>
      </c>
      <c r="V427" t="str">
        <f t="shared" si="25"/>
        <v/>
      </c>
      <c r="W427" t="str">
        <f t="shared" si="26"/>
        <v/>
      </c>
      <c r="X427" t="str">
        <f t="shared" si="27"/>
        <v/>
      </c>
    </row>
    <row r="428" spans="1:24" x14ac:dyDescent="0.25">
      <c r="A428" t="s">
        <v>2377</v>
      </c>
      <c r="B428" t="s">
        <v>2378</v>
      </c>
      <c r="C428" t="s">
        <v>2379</v>
      </c>
      <c r="F428" t="s">
        <v>2380</v>
      </c>
      <c r="L428" t="s">
        <v>24</v>
      </c>
      <c r="M428" t="s">
        <v>25</v>
      </c>
      <c r="O428" t="s">
        <v>26</v>
      </c>
      <c r="P428" t="s">
        <v>2381</v>
      </c>
      <c r="Q428" t="s">
        <v>28</v>
      </c>
      <c r="R428" s="3">
        <v>43690.886400462965</v>
      </c>
      <c r="T428" t="s">
        <v>2382</v>
      </c>
      <c r="U428" t="str">
        <f t="shared" si="24"/>
        <v>["4319e42f-8625-4385-a555-0cdbcda78672"]</v>
      </c>
      <c r="V428" t="str">
        <f t="shared" si="25"/>
        <v/>
      </c>
      <c r="W428" t="str">
        <f t="shared" si="26"/>
        <v/>
      </c>
      <c r="X428" t="str">
        <f t="shared" si="27"/>
        <v/>
      </c>
    </row>
    <row r="429" spans="1:24" x14ac:dyDescent="0.25">
      <c r="A429" t="s">
        <v>2383</v>
      </c>
      <c r="B429" t="s">
        <v>2384</v>
      </c>
      <c r="C429" t="s">
        <v>2385</v>
      </c>
      <c r="F429" t="s">
        <v>2386</v>
      </c>
      <c r="L429" t="s">
        <v>24</v>
      </c>
      <c r="M429" t="s">
        <v>25</v>
      </c>
      <c r="O429" t="s">
        <v>26</v>
      </c>
      <c r="P429" t="s">
        <v>2387</v>
      </c>
      <c r="Q429" t="s">
        <v>28</v>
      </c>
      <c r="R429" s="3">
        <v>44029.364131944443</v>
      </c>
      <c r="T429" t="s">
        <v>2388</v>
      </c>
      <c r="U429" t="str">
        <f t="shared" si="24"/>
        <v>["ef8e980b-9644-45d8-b0e9-c6aaf0eff0c0"]</v>
      </c>
      <c r="V429" t="str">
        <f t="shared" si="25"/>
        <v/>
      </c>
      <c r="W429" t="str">
        <f t="shared" si="26"/>
        <v/>
      </c>
      <c r="X429" t="str">
        <f t="shared" si="27"/>
        <v/>
      </c>
    </row>
    <row r="430" spans="1:24" ht="315" x14ac:dyDescent="0.25">
      <c r="A430" t="s">
        <v>2389</v>
      </c>
      <c r="B430" t="s">
        <v>2390</v>
      </c>
      <c r="C430" t="s">
        <v>2391</v>
      </c>
      <c r="F430" s="2" t="s">
        <v>2392</v>
      </c>
      <c r="L430" t="s">
        <v>24</v>
      </c>
      <c r="M430" t="s">
        <v>25</v>
      </c>
      <c r="O430" t="s">
        <v>26</v>
      </c>
      <c r="P430" t="s">
        <v>2393</v>
      </c>
      <c r="Q430" t="s">
        <v>28</v>
      </c>
      <c r="R430" s="3">
        <v>43955.360069444447</v>
      </c>
      <c r="T430" t="s">
        <v>2205</v>
      </c>
      <c r="U430" t="str">
        <f t="shared" si="24"/>
        <v>["4b71eb3d-7d55-4967-b80d-91a3f220b60c", "ef8e980b-9644-45d8-b0e9-c6aaf0eff0c0"]</v>
      </c>
      <c r="V430" t="str">
        <f t="shared" si="25"/>
        <v/>
      </c>
      <c r="W430" t="str">
        <f t="shared" si="26"/>
        <v/>
      </c>
      <c r="X430" t="str">
        <f t="shared" si="27"/>
        <v/>
      </c>
    </row>
    <row r="431" spans="1:24" x14ac:dyDescent="0.25">
      <c r="A431" t="s">
        <v>2394</v>
      </c>
      <c r="B431" t="s">
        <v>2395</v>
      </c>
      <c r="C431" t="s">
        <v>2396</v>
      </c>
      <c r="F431" t="s">
        <v>2397</v>
      </c>
      <c r="L431" t="s">
        <v>24</v>
      </c>
      <c r="M431" t="s">
        <v>25</v>
      </c>
      <c r="O431" t="s">
        <v>26</v>
      </c>
      <c r="P431" t="s">
        <v>2398</v>
      </c>
      <c r="Q431" t="s">
        <v>28</v>
      </c>
      <c r="R431" s="3">
        <v>43850.357083333336</v>
      </c>
      <c r="T431" t="s">
        <v>2399</v>
      </c>
      <c r="U431" t="str">
        <f t="shared" si="24"/>
        <v>["bb43170b-30fb-48aa-893f-51c60d27056f"]</v>
      </c>
      <c r="V431" t="str">
        <f t="shared" si="25"/>
        <v/>
      </c>
      <c r="W431" t="str">
        <f t="shared" si="26"/>
        <v/>
      </c>
      <c r="X431" t="str">
        <f t="shared" si="27"/>
        <v/>
      </c>
    </row>
    <row r="432" spans="1:24" x14ac:dyDescent="0.25">
      <c r="A432" t="s">
        <v>2400</v>
      </c>
      <c r="B432" t="s">
        <v>2401</v>
      </c>
      <c r="C432" t="s">
        <v>2402</v>
      </c>
      <c r="F432" t="s">
        <v>2403</v>
      </c>
      <c r="L432" t="s">
        <v>24</v>
      </c>
      <c r="M432" t="s">
        <v>25</v>
      </c>
      <c r="O432" t="s">
        <v>26</v>
      </c>
      <c r="P432" t="s">
        <v>2404</v>
      </c>
      <c r="Q432" t="s">
        <v>28</v>
      </c>
      <c r="R432" s="3">
        <v>44004.474444444444</v>
      </c>
      <c r="T432" t="s">
        <v>2405</v>
      </c>
      <c r="U432" t="str">
        <f t="shared" si="24"/>
        <v>["0adc90c9-ac6b-47ef-aa83-b7780594720c"]</v>
      </c>
      <c r="V432" t="str">
        <f t="shared" si="25"/>
        <v/>
      </c>
      <c r="W432" t="str">
        <f t="shared" si="26"/>
        <v/>
      </c>
      <c r="X432" t="str">
        <f t="shared" si="27"/>
        <v/>
      </c>
    </row>
    <row r="433" spans="1:24" ht="409.5" x14ac:dyDescent="0.25">
      <c r="A433" t="s">
        <v>2406</v>
      </c>
      <c r="B433" t="s">
        <v>2407</v>
      </c>
      <c r="C433" t="s">
        <v>2408</v>
      </c>
      <c r="F433" s="2" t="s">
        <v>2409</v>
      </c>
      <c r="L433" t="s">
        <v>24</v>
      </c>
      <c r="M433" t="s">
        <v>25</v>
      </c>
      <c r="O433" t="s">
        <v>26</v>
      </c>
      <c r="P433" t="s">
        <v>2410</v>
      </c>
      <c r="Q433" t="s">
        <v>28</v>
      </c>
      <c r="R433" s="3">
        <v>41606.674895833334</v>
      </c>
      <c r="T433" t="s">
        <v>29</v>
      </c>
      <c r="U433" t="str">
        <f t="shared" si="24"/>
        <v>[]</v>
      </c>
      <c r="V433" t="str">
        <f t="shared" si="25"/>
        <v/>
      </c>
      <c r="W433" t="str">
        <f t="shared" si="26"/>
        <v/>
      </c>
      <c r="X433" t="str">
        <f t="shared" si="27"/>
        <v/>
      </c>
    </row>
    <row r="434" spans="1:24" ht="409.5" x14ac:dyDescent="0.25">
      <c r="A434" t="s">
        <v>2411</v>
      </c>
      <c r="B434" t="s">
        <v>2412</v>
      </c>
      <c r="C434" t="s">
        <v>2413</v>
      </c>
      <c r="F434" s="2" t="s">
        <v>2414</v>
      </c>
      <c r="L434" t="s">
        <v>24</v>
      </c>
      <c r="M434" t="s">
        <v>25</v>
      </c>
      <c r="O434" t="s">
        <v>26</v>
      </c>
      <c r="P434" t="s">
        <v>2415</v>
      </c>
      <c r="Q434" t="s">
        <v>28</v>
      </c>
      <c r="R434" s="3">
        <v>43755.347222222219</v>
      </c>
      <c r="T434" t="s">
        <v>2416</v>
      </c>
      <c r="U434" t="str">
        <f t="shared" si="24"/>
        <v>["9b40a0af-a6fe-47ff-9624-2ea8f40c746f", "523ba2e4-8c55-4dde-8acf-39e3621811b0"]</v>
      </c>
      <c r="V434" t="str">
        <f t="shared" si="25"/>
        <v/>
      </c>
      <c r="W434" t="str">
        <f t="shared" si="26"/>
        <v/>
      </c>
      <c r="X434" t="str">
        <f t="shared" si="27"/>
        <v/>
      </c>
    </row>
    <row r="435" spans="1:24" x14ac:dyDescent="0.25">
      <c r="A435" t="s">
        <v>2417</v>
      </c>
      <c r="B435" t="s">
        <v>2418</v>
      </c>
      <c r="C435" t="s">
        <v>2419</v>
      </c>
      <c r="F435" t="s">
        <v>2420</v>
      </c>
      <c r="L435" t="s">
        <v>24</v>
      </c>
      <c r="M435" t="s">
        <v>25</v>
      </c>
      <c r="O435" t="s">
        <v>26</v>
      </c>
      <c r="P435" t="s">
        <v>2421</v>
      </c>
      <c r="Q435" t="s">
        <v>28</v>
      </c>
      <c r="R435" s="3">
        <v>43888.597233796296</v>
      </c>
      <c r="T435" t="s">
        <v>2422</v>
      </c>
      <c r="U435" t="str">
        <f t="shared" si="24"/>
        <v>["8e9cba91-c956-49fc-8567-99aa17caa02c"]</v>
      </c>
      <c r="V435" t="str">
        <f t="shared" si="25"/>
        <v/>
      </c>
      <c r="W435" t="str">
        <f t="shared" si="26"/>
        <v/>
      </c>
      <c r="X435" t="str">
        <f t="shared" si="27"/>
        <v/>
      </c>
    </row>
    <row r="436" spans="1:24" x14ac:dyDescent="0.25">
      <c r="A436" t="s">
        <v>2423</v>
      </c>
      <c r="B436" t="s">
        <v>2424</v>
      </c>
      <c r="C436" t="s">
        <v>2425</v>
      </c>
      <c r="F436" t="s">
        <v>2426</v>
      </c>
      <c r="L436" t="s">
        <v>24</v>
      </c>
      <c r="M436" t="s">
        <v>25</v>
      </c>
      <c r="O436" t="s">
        <v>26</v>
      </c>
      <c r="P436" t="s">
        <v>2427</v>
      </c>
      <c r="Q436" t="s">
        <v>28</v>
      </c>
      <c r="R436" s="3">
        <v>43901.672326388885</v>
      </c>
      <c r="T436" t="s">
        <v>2428</v>
      </c>
      <c r="U436" t="str">
        <f t="shared" si="24"/>
        <v>["60dd8dfc-3858-4096-b2df-544db8120827"]</v>
      </c>
      <c r="V436" t="str">
        <f t="shared" si="25"/>
        <v/>
      </c>
      <c r="W436" t="str">
        <f t="shared" si="26"/>
        <v/>
      </c>
      <c r="X436" t="str">
        <f t="shared" si="27"/>
        <v/>
      </c>
    </row>
    <row r="437" spans="1:24" x14ac:dyDescent="0.25">
      <c r="A437" t="s">
        <v>2429</v>
      </c>
      <c r="B437" t="s">
        <v>2430</v>
      </c>
      <c r="C437" t="s">
        <v>2431</v>
      </c>
      <c r="F437" t="s">
        <v>2432</v>
      </c>
      <c r="L437" t="s">
        <v>24</v>
      </c>
      <c r="M437" t="s">
        <v>25</v>
      </c>
      <c r="O437" t="s">
        <v>26</v>
      </c>
      <c r="P437" t="s">
        <v>2433</v>
      </c>
      <c r="Q437" t="s">
        <v>28</v>
      </c>
      <c r="R437" s="3">
        <v>43920.588310185187</v>
      </c>
      <c r="T437" t="s">
        <v>2434</v>
      </c>
      <c r="U437" t="str">
        <f t="shared" si="24"/>
        <v>["405a0d29-0a62-45a7-a4d4-56c28e3255ab"]</v>
      </c>
      <c r="V437" t="str">
        <f t="shared" si="25"/>
        <v/>
      </c>
      <c r="W437" t="str">
        <f t="shared" si="26"/>
        <v/>
      </c>
      <c r="X437" t="str">
        <f t="shared" si="27"/>
        <v/>
      </c>
    </row>
    <row r="438" spans="1:24" ht="409.5" x14ac:dyDescent="0.25">
      <c r="A438" t="s">
        <v>2435</v>
      </c>
      <c r="B438" t="s">
        <v>2436</v>
      </c>
      <c r="C438" t="s">
        <v>2437</v>
      </c>
      <c r="F438" s="2" t="s">
        <v>2438</v>
      </c>
      <c r="L438" t="s">
        <v>24</v>
      </c>
      <c r="M438" t="s">
        <v>25</v>
      </c>
      <c r="O438" t="s">
        <v>26</v>
      </c>
      <c r="P438" t="s">
        <v>2439</v>
      </c>
      <c r="Q438" t="s">
        <v>28</v>
      </c>
      <c r="R438" s="3">
        <v>44026.374201388891</v>
      </c>
      <c r="T438" t="s">
        <v>674</v>
      </c>
      <c r="U438" t="str">
        <f t="shared" si="24"/>
        <v>["522d3045-0b37-48d0-b868-57c99726b1c4"]</v>
      </c>
      <c r="V438" t="str">
        <f t="shared" si="25"/>
        <v/>
      </c>
      <c r="W438" t="str">
        <f t="shared" si="26"/>
        <v/>
      </c>
      <c r="X438" t="str">
        <f t="shared" si="27"/>
        <v/>
      </c>
    </row>
    <row r="439" spans="1:24" ht="409.5" x14ac:dyDescent="0.25">
      <c r="A439" t="s">
        <v>2440</v>
      </c>
      <c r="B439" t="s">
        <v>2441</v>
      </c>
      <c r="C439" t="s">
        <v>2442</v>
      </c>
      <c r="F439" s="2" t="s">
        <v>2443</v>
      </c>
      <c r="L439" t="s">
        <v>24</v>
      </c>
      <c r="M439" t="s">
        <v>25</v>
      </c>
      <c r="O439" t="s">
        <v>26</v>
      </c>
      <c r="P439" t="s">
        <v>2444</v>
      </c>
      <c r="Q439" t="s">
        <v>28</v>
      </c>
      <c r="R439" s="3">
        <v>41681.628807870373</v>
      </c>
      <c r="T439" t="s">
        <v>2445</v>
      </c>
      <c r="U439" t="str">
        <f t="shared" si="24"/>
        <v>["c7e84d16-449e-4154-a1bd-603b4fae329e"]</v>
      </c>
      <c r="V439" t="str">
        <f t="shared" si="25"/>
        <v/>
      </c>
      <c r="W439" t="str">
        <f t="shared" si="26"/>
        <v/>
      </c>
      <c r="X439" t="str">
        <f t="shared" si="27"/>
        <v/>
      </c>
    </row>
    <row r="440" spans="1:24" ht="375" x14ac:dyDescent="0.25">
      <c r="A440" t="s">
        <v>2446</v>
      </c>
      <c r="B440" t="s">
        <v>2447</v>
      </c>
      <c r="C440" t="s">
        <v>2448</v>
      </c>
      <c r="F440" s="2" t="s">
        <v>2449</v>
      </c>
      <c r="L440" t="s">
        <v>24</v>
      </c>
      <c r="M440" t="s">
        <v>25</v>
      </c>
      <c r="O440" t="s">
        <v>26</v>
      </c>
      <c r="P440" t="s">
        <v>2450</v>
      </c>
      <c r="Q440" t="s">
        <v>28</v>
      </c>
      <c r="R440" s="3">
        <v>43801.638865740744</v>
      </c>
      <c r="T440" t="s">
        <v>2451</v>
      </c>
      <c r="U440" t="str">
        <f t="shared" si="24"/>
        <v>["3b1a5a2b-72fb-430d-bd82-14bcfc3338a1"]</v>
      </c>
      <c r="V440" t="str">
        <f t="shared" si="25"/>
        <v/>
      </c>
      <c r="W440" t="str">
        <f t="shared" si="26"/>
        <v/>
      </c>
      <c r="X440" t="str">
        <f t="shared" si="27"/>
        <v/>
      </c>
    </row>
    <row r="441" spans="1:24" x14ac:dyDescent="0.25">
      <c r="A441" t="s">
        <v>2452</v>
      </c>
      <c r="B441" t="s">
        <v>2453</v>
      </c>
      <c r="C441" t="s">
        <v>2454</v>
      </c>
      <c r="L441" t="s">
        <v>24</v>
      </c>
      <c r="M441" t="s">
        <v>25</v>
      </c>
      <c r="O441" t="s">
        <v>26</v>
      </c>
      <c r="P441" t="s">
        <v>2455</v>
      </c>
      <c r="Q441" t="s">
        <v>28</v>
      </c>
      <c r="R441" s="3">
        <v>43935.781493055554</v>
      </c>
      <c r="T441" t="s">
        <v>2456</v>
      </c>
      <c r="U441" t="str">
        <f t="shared" si="24"/>
        <v>["846448a5-a26e-4297-ac08-ad7040af20f1", "3765ed62-0f9d-49ad-83b0-1405ed833108", "2f6649b6-2b2d-49a9-ab31-6c7e43728001", "ef8e980b-9644-45d8-b0e9-c6aaf0eff0c0", "4b71eb3d-7d55-4967-b80d-91a3f220b60c"]</v>
      </c>
      <c r="V441" t="str">
        <f t="shared" si="25"/>
        <v/>
      </c>
      <c r="W441" t="str">
        <f t="shared" si="26"/>
        <v/>
      </c>
      <c r="X441" t="str">
        <f t="shared" si="27"/>
        <v/>
      </c>
    </row>
    <row r="442" spans="1:24" ht="409.5" x14ac:dyDescent="0.25">
      <c r="A442" t="s">
        <v>2457</v>
      </c>
      <c r="B442" t="s">
        <v>2458</v>
      </c>
      <c r="C442" t="s">
        <v>2459</v>
      </c>
      <c r="F442" s="2" t="s">
        <v>2460</v>
      </c>
      <c r="L442" t="s">
        <v>24</v>
      </c>
      <c r="M442" t="s">
        <v>25</v>
      </c>
      <c r="O442" t="s">
        <v>26</v>
      </c>
      <c r="P442" t="s">
        <v>2461</v>
      </c>
      <c r="Q442" t="s">
        <v>28</v>
      </c>
      <c r="R442" s="3">
        <v>41715.516446759262</v>
      </c>
      <c r="T442" t="s">
        <v>29</v>
      </c>
      <c r="U442" t="str">
        <f t="shared" si="24"/>
        <v>[]</v>
      </c>
      <c r="V442" t="str">
        <f t="shared" si="25"/>
        <v/>
      </c>
      <c r="W442" t="str">
        <f t="shared" si="26"/>
        <v/>
      </c>
      <c r="X442" t="str">
        <f t="shared" si="27"/>
        <v/>
      </c>
    </row>
    <row r="443" spans="1:24" ht="409.5" x14ac:dyDescent="0.25">
      <c r="A443" t="s">
        <v>2462</v>
      </c>
      <c r="B443" t="s">
        <v>2463</v>
      </c>
      <c r="C443" t="s">
        <v>2464</v>
      </c>
      <c r="F443" s="2" t="s">
        <v>2465</v>
      </c>
      <c r="L443" t="s">
        <v>24</v>
      </c>
      <c r="M443" t="s">
        <v>25</v>
      </c>
      <c r="O443" t="s">
        <v>26</v>
      </c>
      <c r="P443" t="s">
        <v>2466</v>
      </c>
      <c r="Q443" t="s">
        <v>28</v>
      </c>
      <c r="R443" s="3">
        <v>43809.528738425928</v>
      </c>
      <c r="T443" t="s">
        <v>2467</v>
      </c>
      <c r="U443" t="str">
        <f t="shared" si="24"/>
        <v>["35691b6c-9ed7-4517-b4b3-688b0569729a", "51bdc6dc-25ae-41de-b8f3-938f9056af62"]</v>
      </c>
      <c r="V443" t="str">
        <f t="shared" si="25"/>
        <v/>
      </c>
      <c r="W443" t="str">
        <f t="shared" si="26"/>
        <v/>
      </c>
      <c r="X443" t="str">
        <f t="shared" si="27"/>
        <v/>
      </c>
    </row>
    <row r="444" spans="1:24" x14ac:dyDescent="0.25">
      <c r="A444" t="s">
        <v>2468</v>
      </c>
      <c r="B444" t="s">
        <v>2469</v>
      </c>
      <c r="C444" t="s">
        <v>2470</v>
      </c>
      <c r="F444" t="s">
        <v>2471</v>
      </c>
      <c r="L444" t="s">
        <v>24</v>
      </c>
      <c r="M444" t="s">
        <v>25</v>
      </c>
      <c r="O444" t="s">
        <v>26</v>
      </c>
      <c r="P444" t="s">
        <v>2472</v>
      </c>
      <c r="Q444" t="s">
        <v>28</v>
      </c>
      <c r="R444" s="3">
        <v>43837.638541666667</v>
      </c>
      <c r="T444" t="s">
        <v>2473</v>
      </c>
      <c r="U444" t="str">
        <f t="shared" si="24"/>
        <v>["21fca925-12ac-4215-ba1a-a9c73cb3b082", "522d3045-0b37-48d0-b868-57c99726b1c4"]</v>
      </c>
      <c r="V444" t="str">
        <f t="shared" si="25"/>
        <v/>
      </c>
      <c r="W444" t="str">
        <f t="shared" si="26"/>
        <v/>
      </c>
      <c r="X444" t="str">
        <f t="shared" si="27"/>
        <v/>
      </c>
    </row>
    <row r="445" spans="1:24" x14ac:dyDescent="0.25">
      <c r="A445" t="s">
        <v>2474</v>
      </c>
      <c r="B445" t="s">
        <v>2475</v>
      </c>
      <c r="C445" t="s">
        <v>2476</v>
      </c>
      <c r="F445" t="s">
        <v>2477</v>
      </c>
      <c r="L445" t="s">
        <v>24</v>
      </c>
      <c r="M445" t="s">
        <v>25</v>
      </c>
      <c r="O445" t="s">
        <v>26</v>
      </c>
      <c r="P445" t="s">
        <v>2478</v>
      </c>
      <c r="Q445" t="s">
        <v>28</v>
      </c>
      <c r="R445" s="3">
        <v>43882.505972222221</v>
      </c>
      <c r="T445" t="s">
        <v>433</v>
      </c>
      <c r="U445" t="str">
        <f t="shared" si="24"/>
        <v>["2c54f4d6-5712-4e5a-a025-b7f7a396c39b"]</v>
      </c>
      <c r="V445" t="str">
        <f t="shared" si="25"/>
        <v/>
      </c>
      <c r="W445" t="str">
        <f t="shared" si="26"/>
        <v/>
      </c>
      <c r="X445" t="str">
        <f t="shared" si="27"/>
        <v/>
      </c>
    </row>
    <row r="446" spans="1:24" x14ac:dyDescent="0.25">
      <c r="A446" t="s">
        <v>2479</v>
      </c>
      <c r="B446" t="s">
        <v>2480</v>
      </c>
      <c r="C446" t="s">
        <v>2481</v>
      </c>
      <c r="F446" t="s">
        <v>2482</v>
      </c>
      <c r="L446" t="s">
        <v>24</v>
      </c>
      <c r="M446" t="s">
        <v>25</v>
      </c>
      <c r="O446" t="s">
        <v>26</v>
      </c>
      <c r="P446" t="s">
        <v>2483</v>
      </c>
      <c r="Q446" t="s">
        <v>28</v>
      </c>
      <c r="R446" s="3">
        <v>44225.645879629628</v>
      </c>
      <c r="T446" t="s">
        <v>2484</v>
      </c>
      <c r="U446" t="str">
        <f t="shared" si="24"/>
        <v>["2f6649b6-2b2d-49a9-ab31-6c7e43728001", "ef8e980b-9644-45d8-b0e9-c6aaf0eff0c0", "846448a5-a26e-4297-ac08-ad7040af20f1"]</v>
      </c>
      <c r="V446" t="str">
        <f t="shared" si="25"/>
        <v/>
      </c>
      <c r="W446" t="str">
        <f t="shared" si="26"/>
        <v/>
      </c>
      <c r="X446" t="str">
        <f t="shared" si="27"/>
        <v/>
      </c>
    </row>
    <row r="447" spans="1:24" x14ac:dyDescent="0.25">
      <c r="A447" t="s">
        <v>2485</v>
      </c>
      <c r="B447" t="s">
        <v>2486</v>
      </c>
      <c r="C447" t="s">
        <v>2487</v>
      </c>
      <c r="F447" t="s">
        <v>2488</v>
      </c>
      <c r="L447" t="s">
        <v>24</v>
      </c>
      <c r="M447" t="s">
        <v>25</v>
      </c>
      <c r="O447" t="s">
        <v>26</v>
      </c>
      <c r="P447" t="s">
        <v>2489</v>
      </c>
      <c r="Q447" t="s">
        <v>28</v>
      </c>
      <c r="R447" s="3">
        <v>43899.43954861111</v>
      </c>
      <c r="T447" t="s">
        <v>1597</v>
      </c>
      <c r="U447" t="str">
        <f t="shared" si="24"/>
        <v>["254757be-69ef-4a6c-a4c1-1432815d7522", "2c54f4d6-5712-4e5a-a025-b7f7a396c39b"]</v>
      </c>
      <c r="V447" t="str">
        <f t="shared" si="25"/>
        <v/>
      </c>
      <c r="W447" t="str">
        <f t="shared" si="26"/>
        <v/>
      </c>
      <c r="X447" t="str">
        <f t="shared" si="27"/>
        <v/>
      </c>
    </row>
    <row r="448" spans="1:24" x14ac:dyDescent="0.25">
      <c r="A448" t="s">
        <v>2490</v>
      </c>
      <c r="B448" t="s">
        <v>2491</v>
      </c>
      <c r="C448" t="s">
        <v>2492</v>
      </c>
      <c r="F448" t="s">
        <v>2493</v>
      </c>
      <c r="L448" t="s">
        <v>24</v>
      </c>
      <c r="M448" t="s">
        <v>25</v>
      </c>
      <c r="O448" t="s">
        <v>26</v>
      </c>
      <c r="P448" t="s">
        <v>2494</v>
      </c>
      <c r="Q448" t="s">
        <v>28</v>
      </c>
      <c r="R448" s="3">
        <v>44021.488483796296</v>
      </c>
      <c r="T448" t="s">
        <v>584</v>
      </c>
      <c r="U448" t="str">
        <f t="shared" si="24"/>
        <v>["36886c25-6961-4055-96b2-b3e8b138e588"]</v>
      </c>
      <c r="V448" t="str">
        <f t="shared" si="25"/>
        <v/>
      </c>
      <c r="W448" t="str">
        <f t="shared" si="26"/>
        <v/>
      </c>
      <c r="X448" t="str">
        <f t="shared" si="27"/>
        <v/>
      </c>
    </row>
    <row r="449" spans="1:24" x14ac:dyDescent="0.25">
      <c r="A449" t="s">
        <v>2495</v>
      </c>
      <c r="B449" t="s">
        <v>2496</v>
      </c>
      <c r="C449" t="s">
        <v>2497</v>
      </c>
      <c r="F449" t="s">
        <v>2498</v>
      </c>
      <c r="L449" t="s">
        <v>24</v>
      </c>
      <c r="M449" t="s">
        <v>25</v>
      </c>
      <c r="O449" t="s">
        <v>26</v>
      </c>
      <c r="P449" t="s">
        <v>2499</v>
      </c>
      <c r="Q449" t="s">
        <v>28</v>
      </c>
      <c r="R449" s="3">
        <v>44256.335416666669</v>
      </c>
      <c r="T449" t="s">
        <v>29</v>
      </c>
      <c r="U449" t="str">
        <f t="shared" si="24"/>
        <v>[]</v>
      </c>
      <c r="V449" t="str">
        <f t="shared" si="25"/>
        <v/>
      </c>
      <c r="W449" t="str">
        <f t="shared" si="26"/>
        <v/>
      </c>
      <c r="X449" t="str">
        <f t="shared" si="27"/>
        <v/>
      </c>
    </row>
    <row r="450" spans="1:24" x14ac:dyDescent="0.25">
      <c r="A450" t="s">
        <v>2500</v>
      </c>
      <c r="B450" t="s">
        <v>2501</v>
      </c>
      <c r="C450" t="s">
        <v>2502</v>
      </c>
      <c r="F450" t="s">
        <v>2503</v>
      </c>
      <c r="L450" t="s">
        <v>24</v>
      </c>
      <c r="M450" t="s">
        <v>25</v>
      </c>
      <c r="O450" t="s">
        <v>26</v>
      </c>
      <c r="P450" t="s">
        <v>2504</v>
      </c>
      <c r="Q450" t="s">
        <v>28</v>
      </c>
      <c r="R450" s="3">
        <v>44005.65525462963</v>
      </c>
      <c r="T450" t="s">
        <v>2505</v>
      </c>
      <c r="U450" t="str">
        <f t="shared" si="24"/>
        <v>["f365dfc2-6d70-4725-a6e0-a5e478c1f79f", "f4e80988-c139-4953-8176-b3d6d03f6449", "f7bd721a-1f72-4bef-a38c-792f59cc8fe3", "6f412521-2e9b-44b1-a3e4-8f1358caef63"]</v>
      </c>
      <c r="V450" t="str">
        <f t="shared" si="25"/>
        <v/>
      </c>
      <c r="W450" t="str">
        <f t="shared" si="26"/>
        <v/>
      </c>
      <c r="X450" t="str">
        <f t="shared" si="27"/>
        <v/>
      </c>
    </row>
    <row r="451" spans="1:24" x14ac:dyDescent="0.25">
      <c r="A451" t="s">
        <v>2506</v>
      </c>
      <c r="B451" t="s">
        <v>2507</v>
      </c>
      <c r="C451" t="s">
        <v>2508</v>
      </c>
      <c r="F451" t="s">
        <v>2509</v>
      </c>
      <c r="L451" t="s">
        <v>24</v>
      </c>
      <c r="M451" t="s">
        <v>25</v>
      </c>
      <c r="O451" t="s">
        <v>26</v>
      </c>
      <c r="P451" t="s">
        <v>2510</v>
      </c>
      <c r="Q451" t="s">
        <v>28</v>
      </c>
      <c r="R451" s="3">
        <v>44074.655486111114</v>
      </c>
      <c r="T451" t="s">
        <v>2511</v>
      </c>
      <c r="U451" t="str">
        <f t="shared" ref="U451:U514" si="28">LEFT(T451, 1024)</f>
        <v>["c91a4635-8b7d-43fe-9b27-d95dec8392a7", "214a3e63-31aa-47de-a49c-5ea5a80330ed"]</v>
      </c>
      <c r="V451" t="str">
        <f t="shared" ref="V451:V514" si="29">MID(T451, 1025, 1024)</f>
        <v/>
      </c>
      <c r="W451" t="str">
        <f t="shared" ref="W451:W514" si="30">MID(T451, 2049, 1024)</f>
        <v/>
      </c>
      <c r="X451" t="str">
        <f t="shared" ref="X451:X514" si="31">MID(T451, 3073, 1024)</f>
        <v/>
      </c>
    </row>
    <row r="452" spans="1:24" ht="409.5" x14ac:dyDescent="0.25">
      <c r="A452" t="s">
        <v>2512</v>
      </c>
      <c r="B452" t="s">
        <v>2513</v>
      </c>
      <c r="C452" t="s">
        <v>2514</v>
      </c>
      <c r="F452" s="2" t="s">
        <v>2515</v>
      </c>
      <c r="L452" t="s">
        <v>24</v>
      </c>
      <c r="M452" t="s">
        <v>25</v>
      </c>
      <c r="O452" t="s">
        <v>26</v>
      </c>
      <c r="P452" t="s">
        <v>2516</v>
      </c>
      <c r="Q452" t="s">
        <v>28</v>
      </c>
      <c r="R452" s="3">
        <v>44222.30609953704</v>
      </c>
      <c r="T452" t="s">
        <v>2517</v>
      </c>
      <c r="U452" t="str">
        <f t="shared" si="28"/>
        <v>["2ee6b8bf-6292-413c-bb8b-bd22dbb2ad4b"]</v>
      </c>
      <c r="V452" t="str">
        <f t="shared" si="29"/>
        <v/>
      </c>
      <c r="W452" t="str">
        <f t="shared" si="30"/>
        <v/>
      </c>
      <c r="X452" t="str">
        <f t="shared" si="31"/>
        <v/>
      </c>
    </row>
    <row r="453" spans="1:24" ht="409.5" x14ac:dyDescent="0.25">
      <c r="A453" t="s">
        <v>2518</v>
      </c>
      <c r="B453" t="s">
        <v>2519</v>
      </c>
      <c r="C453" t="s">
        <v>2520</v>
      </c>
      <c r="F453" s="2" t="s">
        <v>2521</v>
      </c>
      <c r="L453" t="s">
        <v>24</v>
      </c>
      <c r="M453" t="s">
        <v>25</v>
      </c>
      <c r="O453" t="s">
        <v>26</v>
      </c>
      <c r="P453" t="s">
        <v>2522</v>
      </c>
      <c r="Q453" t="s">
        <v>28</v>
      </c>
      <c r="R453" s="3">
        <v>43998.534895833334</v>
      </c>
      <c r="T453" t="s">
        <v>93</v>
      </c>
      <c r="U453" t="str">
        <f t="shared" si="28"/>
        <v>["898afe8c-0297-45d6-b4b5-0cb9e632094b"]</v>
      </c>
      <c r="V453" t="str">
        <f t="shared" si="29"/>
        <v/>
      </c>
      <c r="W453" t="str">
        <f t="shared" si="30"/>
        <v/>
      </c>
      <c r="X453" t="str">
        <f t="shared" si="31"/>
        <v/>
      </c>
    </row>
    <row r="454" spans="1:24" ht="409.5" x14ac:dyDescent="0.25">
      <c r="A454" t="s">
        <v>2523</v>
      </c>
      <c r="B454" t="s">
        <v>2524</v>
      </c>
      <c r="C454" t="s">
        <v>2525</v>
      </c>
      <c r="F454" s="2" t="s">
        <v>2526</v>
      </c>
      <c r="L454" t="s">
        <v>24</v>
      </c>
      <c r="M454" t="s">
        <v>25</v>
      </c>
      <c r="O454" t="s">
        <v>26</v>
      </c>
      <c r="P454" t="s">
        <v>2527</v>
      </c>
      <c r="Q454" t="s">
        <v>28</v>
      </c>
      <c r="R454" s="3">
        <v>43916.943726851852</v>
      </c>
      <c r="T454" t="s">
        <v>2528</v>
      </c>
      <c r="U454" t="str">
        <f t="shared" si="28"/>
        <v>["4e5c9414-2886-462e-b19f-a598ad065522"]</v>
      </c>
      <c r="V454" t="str">
        <f t="shared" si="29"/>
        <v/>
      </c>
      <c r="W454" t="str">
        <f t="shared" si="30"/>
        <v/>
      </c>
      <c r="X454" t="str">
        <f t="shared" si="31"/>
        <v/>
      </c>
    </row>
    <row r="455" spans="1:24" x14ac:dyDescent="0.25">
      <c r="A455" t="s">
        <v>2529</v>
      </c>
      <c r="B455" t="s">
        <v>2530</v>
      </c>
      <c r="C455" t="s">
        <v>2531</v>
      </c>
      <c r="F455" t="s">
        <v>2532</v>
      </c>
      <c r="L455" t="s">
        <v>24</v>
      </c>
      <c r="M455" t="s">
        <v>25</v>
      </c>
      <c r="O455" t="s">
        <v>26</v>
      </c>
      <c r="P455" t="s">
        <v>2533</v>
      </c>
      <c r="Q455" t="s">
        <v>28</v>
      </c>
      <c r="R455" s="3">
        <v>43990.442673611113</v>
      </c>
      <c r="T455" t="s">
        <v>1967</v>
      </c>
      <c r="U455" t="str">
        <f t="shared" si="28"/>
        <v>["4b71eb3d-7d55-4967-b80d-91a3f220b60c"]</v>
      </c>
      <c r="V455" t="str">
        <f t="shared" si="29"/>
        <v/>
      </c>
      <c r="W455" t="str">
        <f t="shared" si="30"/>
        <v/>
      </c>
      <c r="X455" t="str">
        <f t="shared" si="31"/>
        <v/>
      </c>
    </row>
    <row r="456" spans="1:24" ht="409.5" x14ac:dyDescent="0.25">
      <c r="A456" t="s">
        <v>2534</v>
      </c>
      <c r="B456" t="s">
        <v>2535</v>
      </c>
      <c r="C456" t="s">
        <v>2536</v>
      </c>
      <c r="F456" s="2" t="s">
        <v>2537</v>
      </c>
      <c r="L456" t="s">
        <v>24</v>
      </c>
      <c r="M456" t="s">
        <v>25</v>
      </c>
      <c r="O456" t="s">
        <v>26</v>
      </c>
      <c r="P456" t="s">
        <v>2538</v>
      </c>
      <c r="Q456" t="s">
        <v>28</v>
      </c>
      <c r="R456" s="3">
        <v>44043.486793981479</v>
      </c>
      <c r="T456" t="s">
        <v>2539</v>
      </c>
      <c r="U456" t="str">
        <f t="shared" si="28"/>
        <v>["2c54f4d6-5712-4e5a-a025-b7f7a396c39b", "ef680c5f-fa70-4719-8253-e3a5fe5f9355"]</v>
      </c>
      <c r="V456" t="str">
        <f t="shared" si="29"/>
        <v/>
      </c>
      <c r="W456" t="str">
        <f t="shared" si="30"/>
        <v/>
      </c>
      <c r="X456" t="str">
        <f t="shared" si="31"/>
        <v/>
      </c>
    </row>
    <row r="457" spans="1:24" x14ac:dyDescent="0.25">
      <c r="A457" t="s">
        <v>2540</v>
      </c>
      <c r="B457" t="s">
        <v>2541</v>
      </c>
      <c r="C457" t="s">
        <v>2542</v>
      </c>
      <c r="F457" t="s">
        <v>2543</v>
      </c>
      <c r="L457" t="s">
        <v>24</v>
      </c>
      <c r="M457" t="s">
        <v>25</v>
      </c>
      <c r="O457" t="s">
        <v>26</v>
      </c>
      <c r="P457" t="s">
        <v>2544</v>
      </c>
      <c r="Q457" t="s">
        <v>28</v>
      </c>
      <c r="R457" s="3">
        <v>43937.353391203702</v>
      </c>
      <c r="T457" t="s">
        <v>2388</v>
      </c>
      <c r="U457" t="str">
        <f t="shared" si="28"/>
        <v>["ef8e980b-9644-45d8-b0e9-c6aaf0eff0c0"]</v>
      </c>
      <c r="V457" t="str">
        <f t="shared" si="29"/>
        <v/>
      </c>
      <c r="W457" t="str">
        <f t="shared" si="30"/>
        <v/>
      </c>
      <c r="X457" t="str">
        <f t="shared" si="31"/>
        <v/>
      </c>
    </row>
    <row r="458" spans="1:24" x14ac:dyDescent="0.25">
      <c r="A458" t="s">
        <v>2545</v>
      </c>
      <c r="B458" t="s">
        <v>2546</v>
      </c>
      <c r="C458" t="s">
        <v>2547</v>
      </c>
      <c r="F458" t="s">
        <v>2548</v>
      </c>
      <c r="L458" t="s">
        <v>24</v>
      </c>
      <c r="M458" t="s">
        <v>25</v>
      </c>
      <c r="O458" t="s">
        <v>26</v>
      </c>
      <c r="P458" t="s">
        <v>2549</v>
      </c>
      <c r="Q458" t="s">
        <v>28</v>
      </c>
      <c r="R458" s="3">
        <v>43936.426874999997</v>
      </c>
      <c r="T458" t="s">
        <v>2550</v>
      </c>
      <c r="U458" t="str">
        <f t="shared" si="28"/>
        <v>["e454bf6a-3321-4a86-998a-af61123eb056"]</v>
      </c>
      <c r="V458" t="str">
        <f t="shared" si="29"/>
        <v/>
      </c>
      <c r="W458" t="str">
        <f t="shared" si="30"/>
        <v/>
      </c>
      <c r="X458" t="str">
        <f t="shared" si="31"/>
        <v/>
      </c>
    </row>
    <row r="459" spans="1:24" x14ac:dyDescent="0.25">
      <c r="A459" t="s">
        <v>2551</v>
      </c>
      <c r="B459" t="s">
        <v>2552</v>
      </c>
      <c r="C459" t="s">
        <v>2553</v>
      </c>
      <c r="F459" t="s">
        <v>2554</v>
      </c>
      <c r="L459" t="s">
        <v>24</v>
      </c>
      <c r="M459" t="s">
        <v>25</v>
      </c>
      <c r="O459" t="s">
        <v>26</v>
      </c>
      <c r="P459" t="s">
        <v>2555</v>
      </c>
      <c r="Q459" t="s">
        <v>28</v>
      </c>
      <c r="R459" s="3">
        <v>43442.922060185185</v>
      </c>
      <c r="T459" t="s">
        <v>674</v>
      </c>
      <c r="U459" t="str">
        <f t="shared" si="28"/>
        <v>["522d3045-0b37-48d0-b868-57c99726b1c4"]</v>
      </c>
      <c r="V459" t="str">
        <f t="shared" si="29"/>
        <v/>
      </c>
      <c r="W459" t="str">
        <f t="shared" si="30"/>
        <v/>
      </c>
      <c r="X459" t="str">
        <f t="shared" si="31"/>
        <v/>
      </c>
    </row>
    <row r="460" spans="1:24" x14ac:dyDescent="0.25">
      <c r="A460" t="s">
        <v>2556</v>
      </c>
      <c r="B460" t="s">
        <v>2557</v>
      </c>
      <c r="C460" t="s">
        <v>2558</v>
      </c>
      <c r="F460" t="s">
        <v>2559</v>
      </c>
      <c r="L460" t="s">
        <v>24</v>
      </c>
      <c r="M460" t="s">
        <v>25</v>
      </c>
      <c r="O460" t="s">
        <v>26</v>
      </c>
      <c r="P460" t="s">
        <v>2560</v>
      </c>
      <c r="Q460" t="s">
        <v>28</v>
      </c>
      <c r="R460" s="3">
        <v>44039.59479166667</v>
      </c>
      <c r="T460" t="s">
        <v>2561</v>
      </c>
      <c r="U460" t="str">
        <f t="shared" si="28"/>
        <v>["ef8e980b-9644-45d8-b0e9-c6aaf0eff0c0", "4b71eb3d-7d55-4967-b80d-91a3f220b60c", "2f6649b6-2b2d-49a9-ab31-6c7e43728001"]</v>
      </c>
      <c r="V460" t="str">
        <f t="shared" si="29"/>
        <v/>
      </c>
      <c r="W460" t="str">
        <f t="shared" si="30"/>
        <v/>
      </c>
      <c r="X460" t="str">
        <f t="shared" si="31"/>
        <v/>
      </c>
    </row>
    <row r="461" spans="1:24" x14ac:dyDescent="0.25">
      <c r="A461" t="s">
        <v>2562</v>
      </c>
      <c r="B461" t="s">
        <v>2563</v>
      </c>
      <c r="C461" t="s">
        <v>2564</v>
      </c>
      <c r="F461" t="s">
        <v>2565</v>
      </c>
      <c r="L461" t="s">
        <v>24</v>
      </c>
      <c r="M461" t="s">
        <v>25</v>
      </c>
      <c r="O461" t="s">
        <v>26</v>
      </c>
      <c r="P461" t="s">
        <v>2566</v>
      </c>
      <c r="Q461" t="s">
        <v>28</v>
      </c>
      <c r="R461" s="3">
        <v>43958.605150462965</v>
      </c>
      <c r="T461" t="s">
        <v>2567</v>
      </c>
      <c r="U461" t="str">
        <f t="shared" si="28"/>
        <v>["3765ed62-0f9d-49ad-83b0-1405ed833108"]</v>
      </c>
      <c r="V461" t="str">
        <f t="shared" si="29"/>
        <v/>
      </c>
      <c r="W461" t="str">
        <f t="shared" si="30"/>
        <v/>
      </c>
      <c r="X461" t="str">
        <f t="shared" si="31"/>
        <v/>
      </c>
    </row>
    <row r="462" spans="1:24" x14ac:dyDescent="0.25">
      <c r="A462" t="s">
        <v>2568</v>
      </c>
      <c r="B462" t="s">
        <v>2569</v>
      </c>
      <c r="C462" t="s">
        <v>2570</v>
      </c>
      <c r="F462" t="s">
        <v>2571</v>
      </c>
      <c r="L462" t="s">
        <v>24</v>
      </c>
      <c r="M462" t="s">
        <v>25</v>
      </c>
      <c r="O462" t="s">
        <v>26</v>
      </c>
      <c r="P462" t="s">
        <v>2572</v>
      </c>
      <c r="Q462" t="s">
        <v>28</v>
      </c>
      <c r="R462" s="3">
        <v>43480.380844907406</v>
      </c>
      <c r="T462" t="s">
        <v>1597</v>
      </c>
      <c r="U462" t="str">
        <f t="shared" si="28"/>
        <v>["254757be-69ef-4a6c-a4c1-1432815d7522", "2c54f4d6-5712-4e5a-a025-b7f7a396c39b"]</v>
      </c>
      <c r="V462" t="str">
        <f t="shared" si="29"/>
        <v/>
      </c>
      <c r="W462" t="str">
        <f t="shared" si="30"/>
        <v/>
      </c>
      <c r="X462" t="str">
        <f t="shared" si="31"/>
        <v/>
      </c>
    </row>
    <row r="463" spans="1:24" x14ac:dyDescent="0.25">
      <c r="A463" t="s">
        <v>2573</v>
      </c>
      <c r="B463" t="s">
        <v>2574</v>
      </c>
      <c r="C463" t="s">
        <v>2575</v>
      </c>
      <c r="F463" t="s">
        <v>2576</v>
      </c>
      <c r="L463" t="s">
        <v>24</v>
      </c>
      <c r="M463" t="s">
        <v>25</v>
      </c>
      <c r="O463" t="s">
        <v>26</v>
      </c>
      <c r="P463" t="s">
        <v>2577</v>
      </c>
      <c r="Q463" t="s">
        <v>28</v>
      </c>
      <c r="R463" s="3">
        <v>44092.357152777775</v>
      </c>
      <c r="T463" t="s">
        <v>2578</v>
      </c>
      <c r="U463" t="str">
        <f t="shared" si="28"/>
        <v>["52abfc2b-031c-4875-b838-653abbfccf4e"]</v>
      </c>
      <c r="V463" t="str">
        <f t="shared" si="29"/>
        <v/>
      </c>
      <c r="W463" t="str">
        <f t="shared" si="30"/>
        <v/>
      </c>
      <c r="X463" t="str">
        <f t="shared" si="31"/>
        <v/>
      </c>
    </row>
    <row r="464" spans="1:24" x14ac:dyDescent="0.25">
      <c r="A464" t="s">
        <v>2579</v>
      </c>
      <c r="B464" t="s">
        <v>2580</v>
      </c>
      <c r="C464" t="s">
        <v>2581</v>
      </c>
      <c r="F464" t="s">
        <v>2582</v>
      </c>
      <c r="L464" t="s">
        <v>24</v>
      </c>
      <c r="M464" t="s">
        <v>25</v>
      </c>
      <c r="O464" t="s">
        <v>26</v>
      </c>
      <c r="P464" t="s">
        <v>2583</v>
      </c>
      <c r="Q464" t="s">
        <v>28</v>
      </c>
      <c r="R464" s="3">
        <v>44148.589444444442</v>
      </c>
      <c r="T464" t="s">
        <v>1967</v>
      </c>
      <c r="U464" t="str">
        <f t="shared" si="28"/>
        <v>["4b71eb3d-7d55-4967-b80d-91a3f220b60c"]</v>
      </c>
      <c r="V464" t="str">
        <f t="shared" si="29"/>
        <v/>
      </c>
      <c r="W464" t="str">
        <f t="shared" si="30"/>
        <v/>
      </c>
      <c r="X464" t="str">
        <f t="shared" si="31"/>
        <v/>
      </c>
    </row>
    <row r="465" spans="1:24" ht="409.5" x14ac:dyDescent="0.25">
      <c r="A465" t="s">
        <v>2584</v>
      </c>
      <c r="B465" t="s">
        <v>2585</v>
      </c>
      <c r="C465" t="s">
        <v>2586</v>
      </c>
      <c r="F465" s="2" t="s">
        <v>2587</v>
      </c>
      <c r="L465" t="s">
        <v>24</v>
      </c>
      <c r="M465" t="s">
        <v>25</v>
      </c>
      <c r="O465" t="s">
        <v>26</v>
      </c>
      <c r="P465" t="s">
        <v>2588</v>
      </c>
      <c r="Q465" t="s">
        <v>28</v>
      </c>
      <c r="R465" s="3">
        <v>43920.600127314814</v>
      </c>
      <c r="T465" t="s">
        <v>1988</v>
      </c>
      <c r="U465" t="str">
        <f t="shared" si="28"/>
        <v>["9b73c5ff-97c7-4a51-adda-3142e84f0094"]</v>
      </c>
      <c r="V465" t="str">
        <f t="shared" si="29"/>
        <v/>
      </c>
      <c r="W465" t="str">
        <f t="shared" si="30"/>
        <v/>
      </c>
      <c r="X465" t="str">
        <f t="shared" si="31"/>
        <v/>
      </c>
    </row>
    <row r="466" spans="1:24" ht="409.5" x14ac:dyDescent="0.25">
      <c r="A466" t="s">
        <v>2589</v>
      </c>
      <c r="B466" t="s">
        <v>2590</v>
      </c>
      <c r="C466" t="s">
        <v>2591</v>
      </c>
      <c r="F466" s="2" t="s">
        <v>2592</v>
      </c>
      <c r="L466" t="s">
        <v>24</v>
      </c>
      <c r="M466" t="s">
        <v>25</v>
      </c>
      <c r="O466" t="s">
        <v>26</v>
      </c>
      <c r="P466" t="s">
        <v>2593</v>
      </c>
      <c r="Q466" t="s">
        <v>28</v>
      </c>
      <c r="R466" s="3">
        <v>43287.426944444444</v>
      </c>
      <c r="T466" t="s">
        <v>2594</v>
      </c>
      <c r="U466" t="str">
        <f t="shared" si="28"/>
        <v>["3810778f-f3ad-4032-9df7-dadaa8dd9726"]</v>
      </c>
      <c r="V466" t="str">
        <f t="shared" si="29"/>
        <v/>
      </c>
      <c r="W466" t="str">
        <f t="shared" si="30"/>
        <v/>
      </c>
      <c r="X466" t="str">
        <f t="shared" si="31"/>
        <v/>
      </c>
    </row>
    <row r="467" spans="1:24" x14ac:dyDescent="0.25">
      <c r="A467" t="s">
        <v>2595</v>
      </c>
      <c r="B467" t="s">
        <v>2596</v>
      </c>
      <c r="C467" t="s">
        <v>2597</v>
      </c>
      <c r="F467" t="s">
        <v>2598</v>
      </c>
      <c r="L467" t="s">
        <v>24</v>
      </c>
      <c r="M467" t="s">
        <v>25</v>
      </c>
      <c r="O467" t="s">
        <v>26</v>
      </c>
      <c r="P467" t="s">
        <v>2599</v>
      </c>
      <c r="Q467" t="s">
        <v>28</v>
      </c>
      <c r="R467" s="3">
        <v>43936.489502314813</v>
      </c>
      <c r="T467" t="s">
        <v>1967</v>
      </c>
      <c r="U467" t="str">
        <f t="shared" si="28"/>
        <v>["4b71eb3d-7d55-4967-b80d-91a3f220b60c"]</v>
      </c>
      <c r="V467" t="str">
        <f t="shared" si="29"/>
        <v/>
      </c>
      <c r="W467" t="str">
        <f t="shared" si="30"/>
        <v/>
      </c>
      <c r="X467" t="str">
        <f t="shared" si="31"/>
        <v/>
      </c>
    </row>
    <row r="468" spans="1:24" x14ac:dyDescent="0.25">
      <c r="A468" s="4" t="s">
        <v>2600</v>
      </c>
      <c r="B468" t="s">
        <v>2601</v>
      </c>
      <c r="C468" t="s">
        <v>2602</v>
      </c>
      <c r="F468" t="s">
        <v>2603</v>
      </c>
      <c r="L468" t="s">
        <v>24</v>
      </c>
      <c r="M468" t="s">
        <v>25</v>
      </c>
      <c r="O468" t="s">
        <v>26</v>
      </c>
      <c r="P468" t="s">
        <v>2604</v>
      </c>
      <c r="Q468" t="s">
        <v>28</v>
      </c>
      <c r="R468" s="3">
        <v>44133.371840277781</v>
      </c>
      <c r="T468" t="s">
        <v>2456</v>
      </c>
      <c r="U468" t="str">
        <f t="shared" si="28"/>
        <v>["846448a5-a26e-4297-ac08-ad7040af20f1", "3765ed62-0f9d-49ad-83b0-1405ed833108", "2f6649b6-2b2d-49a9-ab31-6c7e43728001", "ef8e980b-9644-45d8-b0e9-c6aaf0eff0c0", "4b71eb3d-7d55-4967-b80d-91a3f220b60c"]</v>
      </c>
      <c r="V468" t="str">
        <f t="shared" si="29"/>
        <v/>
      </c>
      <c r="W468" t="str">
        <f t="shared" si="30"/>
        <v/>
      </c>
      <c r="X468" t="str">
        <f t="shared" si="31"/>
        <v/>
      </c>
    </row>
    <row r="469" spans="1:24" x14ac:dyDescent="0.25">
      <c r="A469" t="s">
        <v>2605</v>
      </c>
      <c r="B469" t="s">
        <v>2606</v>
      </c>
      <c r="C469" t="s">
        <v>2607</v>
      </c>
      <c r="F469" t="s">
        <v>2608</v>
      </c>
      <c r="L469" t="s">
        <v>24</v>
      </c>
      <c r="M469" t="s">
        <v>25</v>
      </c>
      <c r="O469" t="s">
        <v>26</v>
      </c>
      <c r="P469" t="s">
        <v>2609</v>
      </c>
      <c r="Q469" t="s">
        <v>28</v>
      </c>
      <c r="R469" s="3">
        <v>44168.574386574073</v>
      </c>
      <c r="T469" t="s">
        <v>2610</v>
      </c>
      <c r="U469" t="str">
        <f t="shared" si="28"/>
        <v>["4b71eb3d-7d55-4967-b80d-91a3f220b60c", "846448a5-a26e-4297-ac08-ad7040af20f1", "d3b85461-fc0d-3639-9aa9-39211c4ecade"]</v>
      </c>
      <c r="V469" t="str">
        <f t="shared" si="29"/>
        <v/>
      </c>
      <c r="W469" t="str">
        <f t="shared" si="30"/>
        <v/>
      </c>
      <c r="X469" t="str">
        <f t="shared" si="31"/>
        <v/>
      </c>
    </row>
    <row r="470" spans="1:24" x14ac:dyDescent="0.25">
      <c r="A470" t="s">
        <v>2611</v>
      </c>
      <c r="B470" t="s">
        <v>2612</v>
      </c>
      <c r="C470" t="s">
        <v>2613</v>
      </c>
      <c r="F470" t="s">
        <v>2614</v>
      </c>
      <c r="L470" t="s">
        <v>24</v>
      </c>
      <c r="M470" t="s">
        <v>25</v>
      </c>
      <c r="O470" t="s">
        <v>26</v>
      </c>
      <c r="P470" t="s">
        <v>2615</v>
      </c>
      <c r="Q470" t="s">
        <v>28</v>
      </c>
      <c r="R470" s="3">
        <v>43937.355046296296</v>
      </c>
      <c r="T470" t="s">
        <v>1967</v>
      </c>
      <c r="U470" t="str">
        <f t="shared" si="28"/>
        <v>["4b71eb3d-7d55-4967-b80d-91a3f220b60c"]</v>
      </c>
      <c r="V470" t="str">
        <f t="shared" si="29"/>
        <v/>
      </c>
      <c r="W470" t="str">
        <f t="shared" si="30"/>
        <v/>
      </c>
      <c r="X470" t="str">
        <f t="shared" si="31"/>
        <v/>
      </c>
    </row>
    <row r="471" spans="1:24" x14ac:dyDescent="0.25">
      <c r="A471" t="s">
        <v>2616</v>
      </c>
      <c r="B471" t="s">
        <v>2617</v>
      </c>
      <c r="C471" t="s">
        <v>2618</v>
      </c>
      <c r="F471" t="s">
        <v>2619</v>
      </c>
      <c r="L471" t="s">
        <v>24</v>
      </c>
      <c r="M471" t="s">
        <v>25</v>
      </c>
      <c r="O471" t="s">
        <v>26</v>
      </c>
      <c r="P471" t="s">
        <v>2620</v>
      </c>
      <c r="Q471" t="s">
        <v>28</v>
      </c>
      <c r="R471" s="3">
        <v>43948.399861111109</v>
      </c>
      <c r="T471" t="s">
        <v>1967</v>
      </c>
      <c r="U471" t="str">
        <f t="shared" si="28"/>
        <v>["4b71eb3d-7d55-4967-b80d-91a3f220b60c"]</v>
      </c>
      <c r="V471" t="str">
        <f t="shared" si="29"/>
        <v/>
      </c>
      <c r="W471" t="str">
        <f t="shared" si="30"/>
        <v/>
      </c>
      <c r="X471" t="str">
        <f t="shared" si="31"/>
        <v/>
      </c>
    </row>
    <row r="472" spans="1:24" ht="409.5" x14ac:dyDescent="0.25">
      <c r="A472" t="s">
        <v>2621</v>
      </c>
      <c r="B472" t="s">
        <v>2622</v>
      </c>
      <c r="C472" t="s">
        <v>2623</v>
      </c>
      <c r="F472" s="2" t="s">
        <v>2624</v>
      </c>
      <c r="L472" t="s">
        <v>24</v>
      </c>
      <c r="M472" t="s">
        <v>25</v>
      </c>
      <c r="O472" t="s">
        <v>26</v>
      </c>
      <c r="P472" t="s">
        <v>2625</v>
      </c>
      <c r="Q472" t="s">
        <v>28</v>
      </c>
      <c r="R472" s="3">
        <v>44074.671099537038</v>
      </c>
      <c r="T472" t="s">
        <v>2626</v>
      </c>
      <c r="U472" t="str">
        <f t="shared" si="28"/>
        <v>["6fc1c927-bf21-3d72-9333-a9055493ab3c", "1446c895-cd1f-3ed4-8dd2-66fee300c16e"]</v>
      </c>
      <c r="V472" t="str">
        <f t="shared" si="29"/>
        <v/>
      </c>
      <c r="W472" t="str">
        <f t="shared" si="30"/>
        <v/>
      </c>
      <c r="X472" t="str">
        <f t="shared" si="31"/>
        <v/>
      </c>
    </row>
    <row r="473" spans="1:24" x14ac:dyDescent="0.25">
      <c r="A473" t="s">
        <v>2627</v>
      </c>
      <c r="B473" t="s">
        <v>2628</v>
      </c>
      <c r="C473" t="s">
        <v>2629</v>
      </c>
      <c r="F473" t="s">
        <v>2630</v>
      </c>
      <c r="L473" t="s">
        <v>24</v>
      </c>
      <c r="M473" t="s">
        <v>25</v>
      </c>
      <c r="O473" t="s">
        <v>26</v>
      </c>
      <c r="P473" t="s">
        <v>2631</v>
      </c>
      <c r="Q473" t="s">
        <v>28</v>
      </c>
      <c r="R473" s="3">
        <v>44109.68204861111</v>
      </c>
      <c r="T473" t="s">
        <v>2578</v>
      </c>
      <c r="U473" t="str">
        <f t="shared" si="28"/>
        <v>["52abfc2b-031c-4875-b838-653abbfccf4e"]</v>
      </c>
      <c r="V473" t="str">
        <f t="shared" si="29"/>
        <v/>
      </c>
      <c r="W473" t="str">
        <f t="shared" si="30"/>
        <v/>
      </c>
      <c r="X473" t="str">
        <f t="shared" si="31"/>
        <v/>
      </c>
    </row>
    <row r="474" spans="1:24" ht="409.5" x14ac:dyDescent="0.25">
      <c r="A474" t="s">
        <v>2632</v>
      </c>
      <c r="B474" t="s">
        <v>2633</v>
      </c>
      <c r="C474" t="s">
        <v>2634</v>
      </c>
      <c r="F474" s="2" t="s">
        <v>2635</v>
      </c>
      <c r="L474" t="s">
        <v>24</v>
      </c>
      <c r="M474" t="s">
        <v>25</v>
      </c>
      <c r="O474" t="s">
        <v>26</v>
      </c>
      <c r="P474" t="s">
        <v>2636</v>
      </c>
      <c r="Q474" t="s">
        <v>28</v>
      </c>
      <c r="R474" s="3">
        <v>43214.414537037039</v>
      </c>
      <c r="T474" t="s">
        <v>433</v>
      </c>
      <c r="U474" t="str">
        <f t="shared" si="28"/>
        <v>["2c54f4d6-5712-4e5a-a025-b7f7a396c39b"]</v>
      </c>
      <c r="V474" t="str">
        <f t="shared" si="29"/>
        <v/>
      </c>
      <c r="W474" t="str">
        <f t="shared" si="30"/>
        <v/>
      </c>
      <c r="X474" t="str">
        <f t="shared" si="31"/>
        <v/>
      </c>
    </row>
    <row r="475" spans="1:24" x14ac:dyDescent="0.25">
      <c r="A475" t="s">
        <v>2637</v>
      </c>
      <c r="B475" t="s">
        <v>2638</v>
      </c>
      <c r="C475" t="s">
        <v>2639</v>
      </c>
      <c r="F475" t="s">
        <v>2640</v>
      </c>
      <c r="L475" t="s">
        <v>24</v>
      </c>
      <c r="M475" t="s">
        <v>25</v>
      </c>
      <c r="O475" t="s">
        <v>26</v>
      </c>
      <c r="P475" t="s">
        <v>2641</v>
      </c>
      <c r="Q475" t="s">
        <v>28</v>
      </c>
      <c r="R475" s="3">
        <v>43970.34412037037</v>
      </c>
      <c r="T475" t="s">
        <v>2388</v>
      </c>
      <c r="U475" t="str">
        <f t="shared" si="28"/>
        <v>["ef8e980b-9644-45d8-b0e9-c6aaf0eff0c0"]</v>
      </c>
      <c r="V475" t="str">
        <f t="shared" si="29"/>
        <v/>
      </c>
      <c r="W475" t="str">
        <f t="shared" si="30"/>
        <v/>
      </c>
      <c r="X475" t="str">
        <f t="shared" si="31"/>
        <v/>
      </c>
    </row>
    <row r="476" spans="1:24" x14ac:dyDescent="0.25">
      <c r="A476" t="s">
        <v>2642</v>
      </c>
      <c r="B476" t="s">
        <v>2643</v>
      </c>
      <c r="C476" t="s">
        <v>2644</v>
      </c>
      <c r="F476" t="s">
        <v>2645</v>
      </c>
      <c r="L476" t="s">
        <v>24</v>
      </c>
      <c r="M476" t="s">
        <v>25</v>
      </c>
      <c r="O476" t="s">
        <v>26</v>
      </c>
      <c r="P476" t="s">
        <v>2646</v>
      </c>
      <c r="Q476" t="s">
        <v>28</v>
      </c>
      <c r="R476" s="3">
        <v>44111.403993055559</v>
      </c>
      <c r="T476" t="s">
        <v>2578</v>
      </c>
      <c r="U476" t="str">
        <f t="shared" si="28"/>
        <v>["52abfc2b-031c-4875-b838-653abbfccf4e"]</v>
      </c>
      <c r="V476" t="str">
        <f t="shared" si="29"/>
        <v/>
      </c>
      <c r="W476" t="str">
        <f t="shared" si="30"/>
        <v/>
      </c>
      <c r="X476" t="str">
        <f t="shared" si="31"/>
        <v/>
      </c>
    </row>
    <row r="477" spans="1:24" ht="409.5" x14ac:dyDescent="0.25">
      <c r="A477" t="s">
        <v>2647</v>
      </c>
      <c r="B477" t="s">
        <v>2648</v>
      </c>
      <c r="C477" t="s">
        <v>2649</v>
      </c>
      <c r="F477" s="2" t="s">
        <v>2650</v>
      </c>
      <c r="L477" t="s">
        <v>24</v>
      </c>
      <c r="M477" t="s">
        <v>25</v>
      </c>
      <c r="O477" t="s">
        <v>26</v>
      </c>
      <c r="P477" t="s">
        <v>2651</v>
      </c>
      <c r="Q477" t="s">
        <v>28</v>
      </c>
      <c r="R477" s="3">
        <v>44188.765196759261</v>
      </c>
      <c r="T477" t="s">
        <v>1744</v>
      </c>
      <c r="U477" t="str">
        <f t="shared" si="28"/>
        <v>["6772e22a-a364-47df-9cf7-0590fdde1757"]</v>
      </c>
      <c r="V477" t="str">
        <f t="shared" si="29"/>
        <v/>
      </c>
      <c r="W477" t="str">
        <f t="shared" si="30"/>
        <v/>
      </c>
      <c r="X477" t="str">
        <f t="shared" si="31"/>
        <v/>
      </c>
    </row>
    <row r="478" spans="1:24" x14ac:dyDescent="0.25">
      <c r="A478" t="s">
        <v>2652</v>
      </c>
      <c r="B478" t="s">
        <v>2653</v>
      </c>
      <c r="C478" t="s">
        <v>2654</v>
      </c>
      <c r="F478" t="s">
        <v>2655</v>
      </c>
      <c r="L478" t="s">
        <v>24</v>
      </c>
      <c r="M478" t="s">
        <v>25</v>
      </c>
      <c r="O478" t="s">
        <v>26</v>
      </c>
      <c r="P478" t="s">
        <v>2656</v>
      </c>
      <c r="Q478" t="s">
        <v>28</v>
      </c>
      <c r="R478" s="3">
        <v>44264.700983796298</v>
      </c>
      <c r="T478" t="s">
        <v>2578</v>
      </c>
      <c r="U478" t="str">
        <f t="shared" si="28"/>
        <v>["52abfc2b-031c-4875-b838-653abbfccf4e"]</v>
      </c>
      <c r="V478" t="str">
        <f t="shared" si="29"/>
        <v/>
      </c>
      <c r="W478" t="str">
        <f t="shared" si="30"/>
        <v/>
      </c>
      <c r="X478" t="str">
        <f t="shared" si="31"/>
        <v/>
      </c>
    </row>
    <row r="479" spans="1:24" x14ac:dyDescent="0.25">
      <c r="A479" t="s">
        <v>2657</v>
      </c>
      <c r="B479" t="s">
        <v>2658</v>
      </c>
      <c r="C479" t="s">
        <v>2659</v>
      </c>
      <c r="F479" t="s">
        <v>2660</v>
      </c>
      <c r="L479" t="s">
        <v>24</v>
      </c>
      <c r="M479" t="s">
        <v>25</v>
      </c>
      <c r="O479" t="s">
        <v>26</v>
      </c>
      <c r="P479" t="s">
        <v>2661</v>
      </c>
      <c r="Q479" t="s">
        <v>28</v>
      </c>
      <c r="R479" s="3">
        <v>44299.589826388888</v>
      </c>
      <c r="T479" t="s">
        <v>2662</v>
      </c>
      <c r="U479" t="str">
        <f t="shared" si="28"/>
        <v>["2c54f4d6-5712-4e5a-a025-b7f7a396c39b", "566c99be-b436-365e-af4f-27be6c536358"]</v>
      </c>
      <c r="V479" t="str">
        <f t="shared" si="29"/>
        <v/>
      </c>
      <c r="W479" t="str">
        <f t="shared" si="30"/>
        <v/>
      </c>
      <c r="X479" t="str">
        <f t="shared" si="31"/>
        <v/>
      </c>
    </row>
    <row r="480" spans="1:24" x14ac:dyDescent="0.25">
      <c r="A480" t="s">
        <v>2663</v>
      </c>
      <c r="B480" t="s">
        <v>2664</v>
      </c>
      <c r="C480" t="s">
        <v>2665</v>
      </c>
      <c r="F480" t="s">
        <v>2666</v>
      </c>
      <c r="L480" t="s">
        <v>24</v>
      </c>
      <c r="M480" t="s">
        <v>25</v>
      </c>
      <c r="O480" t="s">
        <v>26</v>
      </c>
      <c r="P480" t="s">
        <v>2667</v>
      </c>
      <c r="Q480" t="s">
        <v>28</v>
      </c>
      <c r="R480" s="3">
        <v>44069.700995370367</v>
      </c>
      <c r="T480" t="s">
        <v>2668</v>
      </c>
      <c r="U480" t="str">
        <f t="shared" si="28"/>
        <v>["52abfc2b-031c-4875-b838-653abbfccf4e", "4bd85183-cba6-3079-881d-45981f1f9f78"]</v>
      </c>
      <c r="V480" t="str">
        <f t="shared" si="29"/>
        <v/>
      </c>
      <c r="W480" t="str">
        <f t="shared" si="30"/>
        <v/>
      </c>
      <c r="X480" t="str">
        <f t="shared" si="31"/>
        <v/>
      </c>
    </row>
    <row r="481" spans="1:24" x14ac:dyDescent="0.25">
      <c r="A481" t="s">
        <v>2669</v>
      </c>
      <c r="B481" t="s">
        <v>2670</v>
      </c>
      <c r="C481" t="s">
        <v>2671</v>
      </c>
      <c r="F481" t="s">
        <v>2672</v>
      </c>
      <c r="L481" t="s">
        <v>24</v>
      </c>
      <c r="M481" t="s">
        <v>25</v>
      </c>
      <c r="O481" t="s">
        <v>26</v>
      </c>
      <c r="P481" t="s">
        <v>2673</v>
      </c>
      <c r="Q481" t="s">
        <v>28</v>
      </c>
      <c r="R481" s="3">
        <v>43082.644016203703</v>
      </c>
      <c r="T481" t="s">
        <v>2674</v>
      </c>
      <c r="U481" t="str">
        <f t="shared" si="28"/>
        <v>["b411c576-e81b-490b-9c5b-8ef36f4f542d", "d025f670-5719-417e-8750-07b9178e7d92", "eec2fb76-3b7b-4f64-a8d1-2f9778a57adb", "36a8b9e9-909e-4605-a7ba-686ee3e1b8bf", "2c54f4d6-5712-4e5a-a025-b7f7a396c39b"]</v>
      </c>
      <c r="V481" t="str">
        <f t="shared" si="29"/>
        <v/>
      </c>
      <c r="W481" t="str">
        <f t="shared" si="30"/>
        <v/>
      </c>
      <c r="X481" t="str">
        <f t="shared" si="31"/>
        <v/>
      </c>
    </row>
    <row r="482" spans="1:24" ht="409.5" x14ac:dyDescent="0.25">
      <c r="A482" t="s">
        <v>2675</v>
      </c>
      <c r="B482" t="s">
        <v>2676</v>
      </c>
      <c r="C482" t="s">
        <v>2677</v>
      </c>
      <c r="F482" s="2" t="s">
        <v>2678</v>
      </c>
      <c r="L482" t="s">
        <v>24</v>
      </c>
      <c r="M482" t="s">
        <v>25</v>
      </c>
      <c r="O482" t="s">
        <v>26</v>
      </c>
      <c r="P482" t="s">
        <v>2679</v>
      </c>
      <c r="Q482" t="s">
        <v>28</v>
      </c>
      <c r="R482" s="3">
        <v>44088.345752314817</v>
      </c>
      <c r="T482" t="s">
        <v>2578</v>
      </c>
      <c r="U482" t="str">
        <f t="shared" si="28"/>
        <v>["52abfc2b-031c-4875-b838-653abbfccf4e"]</v>
      </c>
      <c r="V482" t="str">
        <f t="shared" si="29"/>
        <v/>
      </c>
      <c r="W482" t="str">
        <f t="shared" si="30"/>
        <v/>
      </c>
      <c r="X482" t="str">
        <f t="shared" si="31"/>
        <v/>
      </c>
    </row>
    <row r="483" spans="1:24" x14ac:dyDescent="0.25">
      <c r="A483" t="s">
        <v>2680</v>
      </c>
      <c r="B483" t="s">
        <v>2681</v>
      </c>
      <c r="C483" t="s">
        <v>2682</v>
      </c>
      <c r="F483" t="s">
        <v>2683</v>
      </c>
      <c r="L483" t="s">
        <v>24</v>
      </c>
      <c r="M483" t="s">
        <v>25</v>
      </c>
      <c r="O483" t="s">
        <v>26</v>
      </c>
      <c r="P483" t="s">
        <v>2684</v>
      </c>
      <c r="Q483" t="s">
        <v>28</v>
      </c>
      <c r="R483" s="3">
        <v>44104.53665509259</v>
      </c>
      <c r="T483" t="s">
        <v>2578</v>
      </c>
      <c r="U483" t="str">
        <f t="shared" si="28"/>
        <v>["52abfc2b-031c-4875-b838-653abbfccf4e"]</v>
      </c>
      <c r="V483" t="str">
        <f t="shared" si="29"/>
        <v/>
      </c>
      <c r="W483" t="str">
        <f t="shared" si="30"/>
        <v/>
      </c>
      <c r="X483" t="str">
        <f t="shared" si="31"/>
        <v/>
      </c>
    </row>
    <row r="484" spans="1:24" x14ac:dyDescent="0.25">
      <c r="A484" t="s">
        <v>2685</v>
      </c>
      <c r="B484" t="s">
        <v>2686</v>
      </c>
      <c r="C484" t="s">
        <v>2687</v>
      </c>
      <c r="F484" t="s">
        <v>2688</v>
      </c>
      <c r="L484" t="s">
        <v>24</v>
      </c>
      <c r="M484" t="s">
        <v>25</v>
      </c>
      <c r="O484" t="s">
        <v>26</v>
      </c>
      <c r="P484" t="s">
        <v>2689</v>
      </c>
      <c r="Q484" t="s">
        <v>28</v>
      </c>
      <c r="R484" s="3">
        <v>44112.340127314812</v>
      </c>
      <c r="T484" t="s">
        <v>1046</v>
      </c>
      <c r="U484" t="str">
        <f t="shared" si="28"/>
        <v>["79c1030d-5cf6-4d58-ade6-02f66fb4dffb"]</v>
      </c>
      <c r="V484" t="str">
        <f t="shared" si="29"/>
        <v/>
      </c>
      <c r="W484" t="str">
        <f t="shared" si="30"/>
        <v/>
      </c>
      <c r="X484" t="str">
        <f t="shared" si="31"/>
        <v/>
      </c>
    </row>
    <row r="485" spans="1:24" ht="409.5" x14ac:dyDescent="0.25">
      <c r="A485" t="s">
        <v>2690</v>
      </c>
      <c r="B485" t="s">
        <v>2691</v>
      </c>
      <c r="C485" t="s">
        <v>2692</v>
      </c>
      <c r="F485" s="2" t="s">
        <v>2693</v>
      </c>
      <c r="L485" t="s">
        <v>24</v>
      </c>
      <c r="M485" t="s">
        <v>25</v>
      </c>
      <c r="O485" t="s">
        <v>26</v>
      </c>
      <c r="P485" t="s">
        <v>2694</v>
      </c>
      <c r="Q485" t="s">
        <v>28</v>
      </c>
      <c r="R485" s="3">
        <v>42682.621631944443</v>
      </c>
      <c r="T485" t="s">
        <v>2695</v>
      </c>
      <c r="U485" t="str">
        <f t="shared" si="28"/>
        <v>["25267974-6d44-455e-b76f-248e29ff7df7"]</v>
      </c>
      <c r="V485" t="str">
        <f t="shared" si="29"/>
        <v/>
      </c>
      <c r="W485" t="str">
        <f t="shared" si="30"/>
        <v/>
      </c>
      <c r="X485" t="str">
        <f t="shared" si="31"/>
        <v/>
      </c>
    </row>
    <row r="486" spans="1:24" ht="409.5" x14ac:dyDescent="0.25">
      <c r="A486" t="s">
        <v>2696</v>
      </c>
      <c r="B486" t="s">
        <v>2697</v>
      </c>
      <c r="C486" t="s">
        <v>2698</v>
      </c>
      <c r="F486" s="2" t="s">
        <v>2699</v>
      </c>
      <c r="L486" t="s">
        <v>24</v>
      </c>
      <c r="M486" t="s">
        <v>25</v>
      </c>
      <c r="O486" t="s">
        <v>26</v>
      </c>
      <c r="P486" t="s">
        <v>2700</v>
      </c>
      <c r="Q486" t="s">
        <v>28</v>
      </c>
      <c r="R486" s="3">
        <v>42983.425578703704</v>
      </c>
      <c r="T486" t="s">
        <v>1527</v>
      </c>
      <c r="U486" t="str">
        <f t="shared" si="28"/>
        <v>["ab4a73b6-1c2d-42e1-b4d9-049e04889cf0"]</v>
      </c>
      <c r="V486" t="str">
        <f t="shared" si="29"/>
        <v/>
      </c>
      <c r="W486" t="str">
        <f t="shared" si="30"/>
        <v/>
      </c>
      <c r="X486" t="str">
        <f t="shared" si="31"/>
        <v/>
      </c>
    </row>
    <row r="487" spans="1:24" ht="315" x14ac:dyDescent="0.25">
      <c r="A487" t="s">
        <v>2701</v>
      </c>
      <c r="B487" t="s">
        <v>2702</v>
      </c>
      <c r="C487" t="s">
        <v>2703</v>
      </c>
      <c r="F487" s="2" t="s">
        <v>2704</v>
      </c>
      <c r="L487" t="s">
        <v>24</v>
      </c>
      <c r="M487" t="s">
        <v>25</v>
      </c>
      <c r="O487" t="s">
        <v>26</v>
      </c>
      <c r="P487" t="s">
        <v>2705</v>
      </c>
      <c r="Q487" t="s">
        <v>28</v>
      </c>
      <c r="R487" s="3">
        <v>44816.699756944443</v>
      </c>
      <c r="T487" t="s">
        <v>2706</v>
      </c>
      <c r="U487" t="str">
        <f t="shared" si="28"/>
        <v>["ab4a73b6-1c2d-42e1-b4d9-049e04889cf0", "2c54f4d6-5712-4e5a-a025-b7f7a396c39b", "919d40b2-031f-430e-bf6c-4183f6dc8b64"]</v>
      </c>
      <c r="V487" t="str">
        <f t="shared" si="29"/>
        <v/>
      </c>
      <c r="W487" t="str">
        <f t="shared" si="30"/>
        <v/>
      </c>
      <c r="X487" t="str">
        <f t="shared" si="31"/>
        <v/>
      </c>
    </row>
    <row r="488" spans="1:24" x14ac:dyDescent="0.25">
      <c r="A488" t="s">
        <v>2707</v>
      </c>
      <c r="B488" t="s">
        <v>2708</v>
      </c>
      <c r="C488" t="s">
        <v>2709</v>
      </c>
      <c r="F488" t="s">
        <v>2710</v>
      </c>
      <c r="L488" t="s">
        <v>24</v>
      </c>
      <c r="M488" t="s">
        <v>25</v>
      </c>
      <c r="O488" t="s">
        <v>26</v>
      </c>
      <c r="P488" t="s">
        <v>2711</v>
      </c>
      <c r="Q488" t="s">
        <v>28</v>
      </c>
      <c r="R488" s="3">
        <v>45275.53833333333</v>
      </c>
      <c r="T488" t="s">
        <v>2712</v>
      </c>
      <c r="U488" t="str">
        <f t="shared" si="28"/>
        <v>["586e08a5-1ca6-400b-b2e2-dfd8fd3f429d"]</v>
      </c>
      <c r="V488" t="str">
        <f t="shared" si="29"/>
        <v/>
      </c>
      <c r="W488" t="str">
        <f t="shared" si="30"/>
        <v/>
      </c>
      <c r="X488" t="str">
        <f t="shared" si="31"/>
        <v/>
      </c>
    </row>
    <row r="489" spans="1:24" ht="409.5" x14ac:dyDescent="0.25">
      <c r="A489" t="s">
        <v>2713</v>
      </c>
      <c r="B489" t="s">
        <v>2714</v>
      </c>
      <c r="C489" t="s">
        <v>2715</v>
      </c>
      <c r="F489" s="2" t="s">
        <v>2716</v>
      </c>
      <c r="L489" t="s">
        <v>24</v>
      </c>
      <c r="M489" t="s">
        <v>25</v>
      </c>
      <c r="O489" t="s">
        <v>26</v>
      </c>
      <c r="P489" t="s">
        <v>2717</v>
      </c>
      <c r="Q489" t="s">
        <v>28</v>
      </c>
      <c r="R489" s="3">
        <v>43578.683645833335</v>
      </c>
      <c r="T489" t="s">
        <v>803</v>
      </c>
      <c r="U489" t="str">
        <f t="shared" si="28"/>
        <v>["c223b93a-2634-4f06-ac73-8709b9e16888"]</v>
      </c>
      <c r="V489" t="str">
        <f t="shared" si="29"/>
        <v/>
      </c>
      <c r="W489" t="str">
        <f t="shared" si="30"/>
        <v/>
      </c>
      <c r="X489" t="str">
        <f t="shared" si="31"/>
        <v/>
      </c>
    </row>
    <row r="490" spans="1:24" ht="409.5" x14ac:dyDescent="0.25">
      <c r="A490" t="s">
        <v>2718</v>
      </c>
      <c r="B490" t="s">
        <v>2719</v>
      </c>
      <c r="C490" t="s">
        <v>2720</v>
      </c>
      <c r="F490" s="2" t="s">
        <v>2721</v>
      </c>
      <c r="L490" t="s">
        <v>24</v>
      </c>
      <c r="M490" t="s">
        <v>25</v>
      </c>
      <c r="O490" t="s">
        <v>26</v>
      </c>
      <c r="P490" t="s">
        <v>2722</v>
      </c>
      <c r="Q490" t="s">
        <v>28</v>
      </c>
      <c r="R490" s="3">
        <v>41332.375289351854</v>
      </c>
      <c r="T490" t="s">
        <v>29</v>
      </c>
      <c r="U490" t="str">
        <f t="shared" si="28"/>
        <v>[]</v>
      </c>
      <c r="V490" t="str">
        <f t="shared" si="29"/>
        <v/>
      </c>
      <c r="W490" t="str">
        <f t="shared" si="30"/>
        <v/>
      </c>
      <c r="X490" t="str">
        <f t="shared" si="31"/>
        <v/>
      </c>
    </row>
    <row r="491" spans="1:24" x14ac:dyDescent="0.25">
      <c r="A491" t="s">
        <v>2723</v>
      </c>
      <c r="B491" t="s">
        <v>2724</v>
      </c>
      <c r="C491" t="s">
        <v>2725</v>
      </c>
      <c r="F491" t="s">
        <v>2726</v>
      </c>
      <c r="L491" t="s">
        <v>24</v>
      </c>
      <c r="M491" t="s">
        <v>25</v>
      </c>
      <c r="O491" t="s">
        <v>26</v>
      </c>
      <c r="P491" t="s">
        <v>2727</v>
      </c>
      <c r="Q491" t="s">
        <v>28</v>
      </c>
      <c r="R491" s="3">
        <v>44158.378611111111</v>
      </c>
      <c r="T491" t="s">
        <v>1205</v>
      </c>
      <c r="U491" t="str">
        <f t="shared" si="28"/>
        <v>["71edef44-9d6c-4042-ab71-7207dc930ba7"]</v>
      </c>
      <c r="V491" t="str">
        <f t="shared" si="29"/>
        <v/>
      </c>
      <c r="W491" t="str">
        <f t="shared" si="30"/>
        <v/>
      </c>
      <c r="X491" t="str">
        <f t="shared" si="31"/>
        <v/>
      </c>
    </row>
    <row r="492" spans="1:24" x14ac:dyDescent="0.25">
      <c r="A492" t="s">
        <v>2728</v>
      </c>
      <c r="B492" t="s">
        <v>2729</v>
      </c>
      <c r="C492" t="s">
        <v>2730</v>
      </c>
      <c r="F492" t="s">
        <v>2731</v>
      </c>
      <c r="L492" t="s">
        <v>24</v>
      </c>
      <c r="M492" t="s">
        <v>25</v>
      </c>
      <c r="O492" t="s">
        <v>26</v>
      </c>
      <c r="P492" t="s">
        <v>2732</v>
      </c>
      <c r="Q492" t="s">
        <v>28</v>
      </c>
      <c r="R492" s="3">
        <v>44218.672106481485</v>
      </c>
      <c r="T492" t="s">
        <v>1527</v>
      </c>
      <c r="U492" t="str">
        <f t="shared" si="28"/>
        <v>["ab4a73b6-1c2d-42e1-b4d9-049e04889cf0"]</v>
      </c>
      <c r="V492" t="str">
        <f t="shared" si="29"/>
        <v/>
      </c>
      <c r="W492" t="str">
        <f t="shared" si="30"/>
        <v/>
      </c>
      <c r="X492" t="str">
        <f t="shared" si="31"/>
        <v/>
      </c>
    </row>
    <row r="493" spans="1:24" x14ac:dyDescent="0.25">
      <c r="A493" s="4" t="s">
        <v>2733</v>
      </c>
      <c r="B493" t="s">
        <v>2734</v>
      </c>
      <c r="C493" t="s">
        <v>2735</v>
      </c>
      <c r="F493" t="s">
        <v>2736</v>
      </c>
      <c r="L493" t="s">
        <v>24</v>
      </c>
      <c r="M493" t="s">
        <v>25</v>
      </c>
      <c r="O493" t="s">
        <v>26</v>
      </c>
      <c r="P493" t="s">
        <v>2737</v>
      </c>
      <c r="Q493" t="s">
        <v>28</v>
      </c>
      <c r="R493" s="3">
        <v>44264.69327546296</v>
      </c>
      <c r="T493" t="s">
        <v>2738</v>
      </c>
      <c r="U493" t="str">
        <f t="shared" si="28"/>
        <v>["2f6649b6-2b2d-49a9-ab31-6c7e43728001"]</v>
      </c>
      <c r="V493" t="str">
        <f t="shared" si="29"/>
        <v/>
      </c>
      <c r="W493" t="str">
        <f t="shared" si="30"/>
        <v/>
      </c>
      <c r="X493" t="str">
        <f t="shared" si="31"/>
        <v/>
      </c>
    </row>
    <row r="494" spans="1:24" x14ac:dyDescent="0.25">
      <c r="A494" t="s">
        <v>2739</v>
      </c>
      <c r="B494" t="s">
        <v>2740</v>
      </c>
      <c r="C494" t="s">
        <v>2741</v>
      </c>
      <c r="F494" t="s">
        <v>2742</v>
      </c>
      <c r="L494" t="s">
        <v>24</v>
      </c>
      <c r="M494" t="s">
        <v>25</v>
      </c>
      <c r="O494" t="s">
        <v>26</v>
      </c>
      <c r="P494" t="s">
        <v>2743</v>
      </c>
      <c r="Q494" t="s">
        <v>28</v>
      </c>
      <c r="R494" s="3">
        <v>44508.515821759262</v>
      </c>
      <c r="T494" t="s">
        <v>696</v>
      </c>
      <c r="U494" t="str">
        <f t="shared" si="28"/>
        <v>["5e6175cd-dc44-4b32-a64a-1ac4239a6e4a"]</v>
      </c>
      <c r="V494" t="str">
        <f t="shared" si="29"/>
        <v/>
      </c>
      <c r="W494" t="str">
        <f t="shared" si="30"/>
        <v/>
      </c>
      <c r="X494" t="str">
        <f t="shared" si="31"/>
        <v/>
      </c>
    </row>
    <row r="495" spans="1:24" ht="409.5" x14ac:dyDescent="0.25">
      <c r="A495" t="s">
        <v>2744</v>
      </c>
      <c r="B495" t="s">
        <v>2745</v>
      </c>
      <c r="C495" t="s">
        <v>2746</v>
      </c>
      <c r="F495" s="2" t="s">
        <v>2747</v>
      </c>
      <c r="L495" t="s">
        <v>24</v>
      </c>
      <c r="M495" t="s">
        <v>25</v>
      </c>
      <c r="O495" t="s">
        <v>26</v>
      </c>
      <c r="P495" t="s">
        <v>2748</v>
      </c>
      <c r="Q495" t="s">
        <v>28</v>
      </c>
      <c r="R495" s="3">
        <v>44725.554606481484</v>
      </c>
      <c r="T495" t="s">
        <v>674</v>
      </c>
      <c r="U495" t="str">
        <f t="shared" si="28"/>
        <v>["522d3045-0b37-48d0-b868-57c99726b1c4"]</v>
      </c>
      <c r="V495" t="str">
        <f t="shared" si="29"/>
        <v/>
      </c>
      <c r="W495" t="str">
        <f t="shared" si="30"/>
        <v/>
      </c>
      <c r="X495" t="str">
        <f t="shared" si="31"/>
        <v/>
      </c>
    </row>
    <row r="496" spans="1:24" x14ac:dyDescent="0.25">
      <c r="A496" t="s">
        <v>2749</v>
      </c>
      <c r="B496" t="s">
        <v>2750</v>
      </c>
      <c r="C496" t="s">
        <v>2751</v>
      </c>
      <c r="F496" t="s">
        <v>2752</v>
      </c>
      <c r="L496" t="s">
        <v>24</v>
      </c>
      <c r="M496" t="s">
        <v>25</v>
      </c>
      <c r="O496" t="s">
        <v>26</v>
      </c>
      <c r="P496" t="s">
        <v>2753</v>
      </c>
      <c r="Q496" t="s">
        <v>28</v>
      </c>
      <c r="R496" s="3">
        <v>44264.706828703704</v>
      </c>
      <c r="T496" t="s">
        <v>2388</v>
      </c>
      <c r="U496" t="str">
        <f t="shared" si="28"/>
        <v>["ef8e980b-9644-45d8-b0e9-c6aaf0eff0c0"]</v>
      </c>
      <c r="V496" t="str">
        <f t="shared" si="29"/>
        <v/>
      </c>
      <c r="W496" t="str">
        <f t="shared" si="30"/>
        <v/>
      </c>
      <c r="X496" t="str">
        <f t="shared" si="31"/>
        <v/>
      </c>
    </row>
    <row r="497" spans="1:24" x14ac:dyDescent="0.25">
      <c r="A497" t="s">
        <v>2754</v>
      </c>
      <c r="B497" t="s">
        <v>2755</v>
      </c>
      <c r="C497" t="s">
        <v>2756</v>
      </c>
      <c r="F497" t="s">
        <v>2757</v>
      </c>
      <c r="L497" t="s">
        <v>24</v>
      </c>
      <c r="M497" t="s">
        <v>25</v>
      </c>
      <c r="O497" t="s">
        <v>26</v>
      </c>
      <c r="P497" t="s">
        <v>2758</v>
      </c>
      <c r="Q497" t="s">
        <v>28</v>
      </c>
      <c r="R497" s="3">
        <v>44218.641793981478</v>
      </c>
      <c r="T497" t="s">
        <v>29</v>
      </c>
      <c r="U497" t="str">
        <f t="shared" si="28"/>
        <v>[]</v>
      </c>
      <c r="V497" t="str">
        <f t="shared" si="29"/>
        <v/>
      </c>
      <c r="W497" t="str">
        <f t="shared" si="30"/>
        <v/>
      </c>
      <c r="X497" t="str">
        <f t="shared" si="31"/>
        <v/>
      </c>
    </row>
    <row r="498" spans="1:24" x14ac:dyDescent="0.25">
      <c r="A498" t="s">
        <v>2759</v>
      </c>
      <c r="B498" t="s">
        <v>2760</v>
      </c>
      <c r="C498" t="s">
        <v>2761</v>
      </c>
      <c r="F498" t="s">
        <v>2762</v>
      </c>
      <c r="L498" t="s">
        <v>24</v>
      </c>
      <c r="M498" t="s">
        <v>25</v>
      </c>
      <c r="O498" t="s">
        <v>26</v>
      </c>
      <c r="P498" t="s">
        <v>2763</v>
      </c>
      <c r="Q498" t="s">
        <v>28</v>
      </c>
      <c r="R498" s="3">
        <v>44123.647511574076</v>
      </c>
      <c r="T498" t="s">
        <v>2764</v>
      </c>
      <c r="U498" t="str">
        <f t="shared" si="28"/>
        <v>["86d88cae-ad97-4476-bae5-73488a12776d"]</v>
      </c>
      <c r="V498" t="str">
        <f t="shared" si="29"/>
        <v/>
      </c>
      <c r="W498" t="str">
        <f t="shared" si="30"/>
        <v/>
      </c>
      <c r="X498" t="str">
        <f t="shared" si="31"/>
        <v/>
      </c>
    </row>
    <row r="499" spans="1:24" x14ac:dyDescent="0.25">
      <c r="A499" t="s">
        <v>2765</v>
      </c>
      <c r="B499" t="s">
        <v>2766</v>
      </c>
      <c r="C499" t="s">
        <v>2767</v>
      </c>
      <c r="F499" t="s">
        <v>2768</v>
      </c>
      <c r="L499" t="s">
        <v>24</v>
      </c>
      <c r="M499" t="s">
        <v>25</v>
      </c>
      <c r="O499" t="s">
        <v>26</v>
      </c>
      <c r="P499" t="s">
        <v>2769</v>
      </c>
      <c r="Q499" t="s">
        <v>28</v>
      </c>
      <c r="R499" s="3">
        <v>44145.445370370369</v>
      </c>
      <c r="T499" t="s">
        <v>2770</v>
      </c>
      <c r="U499" t="str">
        <f t="shared" si="28"/>
        <v>["14589f68-d1ac-3be8-ad3d-07249865fb85", "6f529d58-9a21-3da9-8c33-d191178d7657", "d3b85461-fc0d-3639-9aa9-39211c4ecade"]</v>
      </c>
      <c r="V499" t="str">
        <f t="shared" si="29"/>
        <v/>
      </c>
      <c r="W499" t="str">
        <f t="shared" si="30"/>
        <v/>
      </c>
      <c r="X499" t="str">
        <f t="shared" si="31"/>
        <v/>
      </c>
    </row>
    <row r="500" spans="1:24" x14ac:dyDescent="0.25">
      <c r="A500" t="s">
        <v>2771</v>
      </c>
      <c r="B500" t="s">
        <v>2772</v>
      </c>
      <c r="C500" t="s">
        <v>2773</v>
      </c>
      <c r="F500" t="s">
        <v>2774</v>
      </c>
      <c r="L500" t="s">
        <v>24</v>
      </c>
      <c r="M500" t="s">
        <v>25</v>
      </c>
      <c r="O500" t="s">
        <v>26</v>
      </c>
      <c r="P500" t="s">
        <v>2775</v>
      </c>
      <c r="Q500" t="s">
        <v>28</v>
      </c>
      <c r="R500" s="3">
        <v>44333.530277777776</v>
      </c>
      <c r="T500" t="s">
        <v>2776</v>
      </c>
      <c r="U500" t="str">
        <f t="shared" si="28"/>
        <v>["846448a5-a26e-4297-ac08-ad7040af20f1"]</v>
      </c>
      <c r="V500" t="str">
        <f t="shared" si="29"/>
        <v/>
      </c>
      <c r="W500" t="str">
        <f t="shared" si="30"/>
        <v/>
      </c>
      <c r="X500" t="str">
        <f t="shared" si="31"/>
        <v/>
      </c>
    </row>
    <row r="501" spans="1:24" ht="409.5" x14ac:dyDescent="0.25">
      <c r="A501" t="s">
        <v>2777</v>
      </c>
      <c r="B501" t="s">
        <v>2778</v>
      </c>
      <c r="C501" t="s">
        <v>2779</v>
      </c>
      <c r="F501" s="2" t="s">
        <v>2780</v>
      </c>
      <c r="L501" t="s">
        <v>24</v>
      </c>
      <c r="M501" t="s">
        <v>25</v>
      </c>
      <c r="O501" t="s">
        <v>26</v>
      </c>
      <c r="P501" t="s">
        <v>2781</v>
      </c>
      <c r="Q501" t="s">
        <v>28</v>
      </c>
      <c r="R501" s="3">
        <v>44018.507245370369</v>
      </c>
      <c r="T501" t="s">
        <v>2782</v>
      </c>
      <c r="U501" t="str">
        <f t="shared" si="28"/>
        <v>["898afe8c-0297-45d6-b4b5-0cb9e632094b", "2646025c-8ab9-4850-b76c-c2f508b34798"]</v>
      </c>
      <c r="V501" t="str">
        <f t="shared" si="29"/>
        <v/>
      </c>
      <c r="W501" t="str">
        <f t="shared" si="30"/>
        <v/>
      </c>
      <c r="X501" t="str">
        <f t="shared" si="31"/>
        <v/>
      </c>
    </row>
    <row r="502" spans="1:24" x14ac:dyDescent="0.25">
      <c r="A502" t="s">
        <v>2783</v>
      </c>
      <c r="B502" t="s">
        <v>2784</v>
      </c>
      <c r="C502" t="s">
        <v>2785</v>
      </c>
      <c r="F502" t="s">
        <v>2786</v>
      </c>
      <c r="L502" t="s">
        <v>24</v>
      </c>
      <c r="M502" t="s">
        <v>25</v>
      </c>
      <c r="O502" t="s">
        <v>26</v>
      </c>
      <c r="P502" t="s">
        <v>2787</v>
      </c>
      <c r="Q502" t="s">
        <v>28</v>
      </c>
      <c r="R502" s="3">
        <v>44131.580937500003</v>
      </c>
      <c r="T502" t="s">
        <v>2578</v>
      </c>
      <c r="U502" t="str">
        <f t="shared" si="28"/>
        <v>["52abfc2b-031c-4875-b838-653abbfccf4e"]</v>
      </c>
      <c r="V502" t="str">
        <f t="shared" si="29"/>
        <v/>
      </c>
      <c r="W502" t="str">
        <f t="shared" si="30"/>
        <v/>
      </c>
      <c r="X502" t="str">
        <f t="shared" si="31"/>
        <v/>
      </c>
    </row>
    <row r="503" spans="1:24" x14ac:dyDescent="0.25">
      <c r="A503" t="s">
        <v>2788</v>
      </c>
      <c r="B503" t="s">
        <v>2789</v>
      </c>
      <c r="C503" t="s">
        <v>2790</v>
      </c>
      <c r="F503" t="s">
        <v>2791</v>
      </c>
      <c r="L503" t="s">
        <v>24</v>
      </c>
      <c r="M503" t="s">
        <v>25</v>
      </c>
      <c r="O503" t="s">
        <v>26</v>
      </c>
      <c r="P503" t="s">
        <v>2792</v>
      </c>
      <c r="Q503" t="s">
        <v>28</v>
      </c>
      <c r="R503" s="3">
        <v>44154.509201388886</v>
      </c>
      <c r="T503" t="s">
        <v>2793</v>
      </c>
      <c r="U503" t="str">
        <f t="shared" si="28"/>
        <v>["4b71eb3d-7d55-4967-b80d-91a3f220b60c", "81f390f9-9b42-3a72-ad9b-e11a4dbebab0"]</v>
      </c>
      <c r="V503" t="str">
        <f t="shared" si="29"/>
        <v/>
      </c>
      <c r="W503" t="str">
        <f t="shared" si="30"/>
        <v/>
      </c>
      <c r="X503" t="str">
        <f t="shared" si="31"/>
        <v/>
      </c>
    </row>
    <row r="504" spans="1:24" x14ac:dyDescent="0.25">
      <c r="A504" t="s">
        <v>2794</v>
      </c>
      <c r="B504" t="s">
        <v>2795</v>
      </c>
      <c r="C504" t="s">
        <v>2796</v>
      </c>
      <c r="F504" t="s">
        <v>2797</v>
      </c>
      <c r="L504" t="s">
        <v>24</v>
      </c>
      <c r="M504" t="s">
        <v>25</v>
      </c>
      <c r="O504" t="s">
        <v>26</v>
      </c>
      <c r="P504" t="s">
        <v>2798</v>
      </c>
      <c r="Q504" t="s">
        <v>28</v>
      </c>
      <c r="R504" s="3">
        <v>44069.70826388889</v>
      </c>
      <c r="T504" t="s">
        <v>2799</v>
      </c>
      <c r="U504" t="str">
        <f t="shared" si="28"/>
        <v>["d3b85461-fc0d-3639-9aa9-39211c4ecade"]</v>
      </c>
      <c r="V504" t="str">
        <f t="shared" si="29"/>
        <v/>
      </c>
      <c r="W504" t="str">
        <f t="shared" si="30"/>
        <v/>
      </c>
      <c r="X504" t="str">
        <f t="shared" si="31"/>
        <v/>
      </c>
    </row>
    <row r="505" spans="1:24" ht="409.5" x14ac:dyDescent="0.25">
      <c r="A505" t="s">
        <v>2800</v>
      </c>
      <c r="B505" t="s">
        <v>2801</v>
      </c>
      <c r="C505" t="s">
        <v>2802</v>
      </c>
      <c r="F505" s="2" t="s">
        <v>2803</v>
      </c>
      <c r="L505" t="s">
        <v>24</v>
      </c>
      <c r="M505" t="s">
        <v>25</v>
      </c>
      <c r="O505" t="s">
        <v>26</v>
      </c>
      <c r="P505" t="s">
        <v>2804</v>
      </c>
      <c r="Q505" t="s">
        <v>28</v>
      </c>
      <c r="R505" s="3">
        <v>44218.597245370373</v>
      </c>
      <c r="T505" t="s">
        <v>2805</v>
      </c>
      <c r="U505" t="str">
        <f t="shared" si="28"/>
        <v>["e5cca30b-299f-496b-8162-919dca91d94e", "ab4a73b6-1c2d-42e1-b4d9-049e04889cf0", "919d40b2-031f-430e-bf6c-4183f6dc8b64"]</v>
      </c>
      <c r="V505" t="str">
        <f t="shared" si="29"/>
        <v/>
      </c>
      <c r="W505" t="str">
        <f t="shared" si="30"/>
        <v/>
      </c>
      <c r="X505" t="str">
        <f t="shared" si="31"/>
        <v/>
      </c>
    </row>
    <row r="506" spans="1:24" x14ac:dyDescent="0.25">
      <c r="A506" t="s">
        <v>2806</v>
      </c>
      <c r="B506" t="s">
        <v>2807</v>
      </c>
      <c r="C506" t="s">
        <v>2808</v>
      </c>
      <c r="F506" t="s">
        <v>2809</v>
      </c>
      <c r="L506" t="s">
        <v>24</v>
      </c>
      <c r="M506" t="s">
        <v>25</v>
      </c>
      <c r="O506" t="s">
        <v>26</v>
      </c>
      <c r="P506" t="s">
        <v>2810</v>
      </c>
      <c r="Q506" t="s">
        <v>28</v>
      </c>
      <c r="R506" s="3">
        <v>44188.772291666668</v>
      </c>
      <c r="T506" t="s">
        <v>2388</v>
      </c>
      <c r="U506" t="str">
        <f t="shared" si="28"/>
        <v>["ef8e980b-9644-45d8-b0e9-c6aaf0eff0c0"]</v>
      </c>
      <c r="V506" t="str">
        <f t="shared" si="29"/>
        <v/>
      </c>
      <c r="W506" t="str">
        <f t="shared" si="30"/>
        <v/>
      </c>
      <c r="X506" t="str">
        <f t="shared" si="31"/>
        <v/>
      </c>
    </row>
    <row r="507" spans="1:24" ht="409.5" x14ac:dyDescent="0.25">
      <c r="A507" t="s">
        <v>2811</v>
      </c>
      <c r="B507" t="s">
        <v>2812</v>
      </c>
      <c r="C507" t="s">
        <v>2813</v>
      </c>
      <c r="F507" s="2" t="s">
        <v>2814</v>
      </c>
      <c r="L507" t="s">
        <v>24</v>
      </c>
      <c r="M507" t="s">
        <v>25</v>
      </c>
      <c r="O507" t="s">
        <v>26</v>
      </c>
      <c r="P507" t="s">
        <v>2815</v>
      </c>
      <c r="Q507" t="s">
        <v>28</v>
      </c>
      <c r="R507" s="3">
        <v>44074.637997685182</v>
      </c>
      <c r="T507" t="s">
        <v>311</v>
      </c>
      <c r="U507" t="str">
        <f t="shared" si="28"/>
        <v>["b01585af-110f-4f87-9bf1-06805605926c"]</v>
      </c>
      <c r="V507" t="str">
        <f t="shared" si="29"/>
        <v/>
      </c>
      <c r="W507" t="str">
        <f t="shared" si="30"/>
        <v/>
      </c>
      <c r="X507" t="str">
        <f t="shared" si="31"/>
        <v/>
      </c>
    </row>
    <row r="508" spans="1:24" x14ac:dyDescent="0.25">
      <c r="A508" t="s">
        <v>2816</v>
      </c>
      <c r="B508" t="s">
        <v>2817</v>
      </c>
      <c r="C508" t="s">
        <v>2818</v>
      </c>
      <c r="F508" t="s">
        <v>2819</v>
      </c>
      <c r="L508" t="s">
        <v>24</v>
      </c>
      <c r="M508" t="s">
        <v>25</v>
      </c>
      <c r="O508" t="s">
        <v>26</v>
      </c>
      <c r="P508" t="s">
        <v>2820</v>
      </c>
      <c r="Q508" t="s">
        <v>28</v>
      </c>
      <c r="R508" s="3">
        <v>44133.637824074074</v>
      </c>
      <c r="T508" t="s">
        <v>2821</v>
      </c>
      <c r="U508" t="str">
        <f t="shared" si="28"/>
        <v>["4b71eb3d-7d55-4967-b80d-91a3f220b60c", "7e0d1134-ccfb-3255-a539-e086d1d7aa29"]</v>
      </c>
      <c r="V508" t="str">
        <f t="shared" si="29"/>
        <v/>
      </c>
      <c r="W508" t="str">
        <f t="shared" si="30"/>
        <v/>
      </c>
      <c r="X508" t="str">
        <f t="shared" si="31"/>
        <v/>
      </c>
    </row>
    <row r="509" spans="1:24" x14ac:dyDescent="0.25">
      <c r="A509" t="s">
        <v>2822</v>
      </c>
      <c r="B509" t="s">
        <v>2823</v>
      </c>
      <c r="C509" t="s">
        <v>2824</v>
      </c>
      <c r="F509" t="s">
        <v>2825</v>
      </c>
      <c r="L509" t="s">
        <v>24</v>
      </c>
      <c r="M509" t="s">
        <v>25</v>
      </c>
      <c r="O509" t="s">
        <v>26</v>
      </c>
      <c r="P509" t="s">
        <v>2826</v>
      </c>
      <c r="Q509" t="s">
        <v>28</v>
      </c>
      <c r="R509" s="3">
        <v>44085.49763888889</v>
      </c>
      <c r="T509" t="s">
        <v>2578</v>
      </c>
      <c r="U509" t="str">
        <f t="shared" si="28"/>
        <v>["52abfc2b-031c-4875-b838-653abbfccf4e"]</v>
      </c>
      <c r="V509" t="str">
        <f t="shared" si="29"/>
        <v/>
      </c>
      <c r="W509" t="str">
        <f t="shared" si="30"/>
        <v/>
      </c>
      <c r="X509" t="str">
        <f t="shared" si="31"/>
        <v/>
      </c>
    </row>
    <row r="510" spans="1:24" x14ac:dyDescent="0.25">
      <c r="A510" t="s">
        <v>2827</v>
      </c>
      <c r="B510" t="s">
        <v>2828</v>
      </c>
      <c r="C510" t="s">
        <v>2829</v>
      </c>
      <c r="F510" t="s">
        <v>2830</v>
      </c>
      <c r="L510" t="s">
        <v>24</v>
      </c>
      <c r="M510" t="s">
        <v>25</v>
      </c>
      <c r="O510" t="s">
        <v>26</v>
      </c>
      <c r="P510" s="3">
        <v>45454.260231481479</v>
      </c>
      <c r="Q510" t="s">
        <v>28</v>
      </c>
      <c r="R510" s="3">
        <v>44188.786874999998</v>
      </c>
      <c r="T510" t="s">
        <v>2831</v>
      </c>
      <c r="U510" t="str">
        <f t="shared" si="28"/>
        <v>["4b71eb3d-7d55-4967-b80d-91a3f220b60c", "846448a5-a26e-4297-ac08-ad7040af20f1", "52abfc2b-031c-4875-b838-653abbfccf4e"]</v>
      </c>
      <c r="V510" t="str">
        <f t="shared" si="29"/>
        <v/>
      </c>
      <c r="W510" t="str">
        <f t="shared" si="30"/>
        <v/>
      </c>
      <c r="X510" t="str">
        <f t="shared" si="31"/>
        <v/>
      </c>
    </row>
    <row r="511" spans="1:24" ht="409.5" x14ac:dyDescent="0.25">
      <c r="A511" t="s">
        <v>2832</v>
      </c>
      <c r="B511" t="s">
        <v>2833</v>
      </c>
      <c r="C511" t="s">
        <v>2834</v>
      </c>
      <c r="F511" s="2" t="s">
        <v>2835</v>
      </c>
      <c r="L511" t="s">
        <v>24</v>
      </c>
      <c r="M511" t="s">
        <v>25</v>
      </c>
      <c r="O511" t="s">
        <v>26</v>
      </c>
      <c r="P511" t="s">
        <v>2836</v>
      </c>
      <c r="Q511" t="s">
        <v>28</v>
      </c>
      <c r="R511" s="3">
        <v>44092.34746527778</v>
      </c>
      <c r="T511" t="s">
        <v>2837</v>
      </c>
      <c r="U511" t="str">
        <f t="shared" si="28"/>
        <v>["3765ed62-0f9d-49ad-83b0-1405ed833108", "2f6649b6-2b2d-49a9-ab31-6c7e43728001", "ef8e980b-9644-45d8-b0e9-c6aaf0eff0c0", "4b71eb3d-7d55-4967-b80d-91a3f220b60c", "846448a5-a26e-4297-ac08-ad7040af20f1", "734a5746-bbda-4fc0-8eb3-52c6325ceb88", "4312623f-2cdc-4a59-bea5-877310e6e48d", "7effe370-ce79-4286-b299-c5d851f546ff"]</v>
      </c>
      <c r="V511" t="str">
        <f t="shared" si="29"/>
        <v/>
      </c>
      <c r="W511" t="str">
        <f t="shared" si="30"/>
        <v/>
      </c>
      <c r="X511" t="str">
        <f t="shared" si="31"/>
        <v/>
      </c>
    </row>
    <row r="512" spans="1:24" x14ac:dyDescent="0.25">
      <c r="A512" t="s">
        <v>2838</v>
      </c>
      <c r="B512" t="s">
        <v>2839</v>
      </c>
      <c r="C512" t="s">
        <v>2840</v>
      </c>
      <c r="F512" t="s">
        <v>2841</v>
      </c>
      <c r="L512" t="s">
        <v>24</v>
      </c>
      <c r="M512" t="s">
        <v>25</v>
      </c>
      <c r="O512" t="s">
        <v>26</v>
      </c>
      <c r="P512" t="s">
        <v>2842</v>
      </c>
      <c r="Q512" t="s">
        <v>28</v>
      </c>
      <c r="R512" s="3">
        <v>44418.41369212963</v>
      </c>
      <c r="T512" t="s">
        <v>2843</v>
      </c>
      <c r="U512" t="str">
        <f t="shared" si="28"/>
        <v>["4532a95c-95e8-44da-9bac-9d56e8ab39c2"]</v>
      </c>
      <c r="V512" t="str">
        <f t="shared" si="29"/>
        <v/>
      </c>
      <c r="W512" t="str">
        <f t="shared" si="30"/>
        <v/>
      </c>
      <c r="X512" t="str">
        <f t="shared" si="31"/>
        <v/>
      </c>
    </row>
    <row r="513" spans="1:24" x14ac:dyDescent="0.25">
      <c r="A513" t="s">
        <v>2844</v>
      </c>
      <c r="B513" t="s">
        <v>2845</v>
      </c>
      <c r="C513" t="s">
        <v>2846</v>
      </c>
      <c r="F513" t="s">
        <v>2847</v>
      </c>
      <c r="L513" t="s">
        <v>24</v>
      </c>
      <c r="M513" t="s">
        <v>25</v>
      </c>
      <c r="O513" t="s">
        <v>26</v>
      </c>
      <c r="P513" t="s">
        <v>2848</v>
      </c>
      <c r="Q513" t="s">
        <v>28</v>
      </c>
      <c r="R513" s="3">
        <v>44524.467581018522</v>
      </c>
      <c r="T513" t="s">
        <v>2849</v>
      </c>
      <c r="U513" t="str">
        <f t="shared" si="28"/>
        <v>["e2e7100e-7094-48cf-9d6d-146a52c8dd8b", "44720e90-c2de-497b-8162-3810206dd011", "41760DF5-1EBF-424C-8251-EA0466BC2EE5", "c8218f47-8ef6-43c6-9f86-3125e317f60e", "941cd994-a89e-45da-a208-5b9cc5e7e0e6", "8dfe02c3-c8b6-4c0e-84ec-7dad6be0b673"]</v>
      </c>
      <c r="V513" t="str">
        <f t="shared" si="29"/>
        <v/>
      </c>
      <c r="W513" t="str">
        <f t="shared" si="30"/>
        <v/>
      </c>
      <c r="X513" t="str">
        <f t="shared" si="31"/>
        <v/>
      </c>
    </row>
    <row r="514" spans="1:24" ht="409.5" x14ac:dyDescent="0.25">
      <c r="A514" t="s">
        <v>2850</v>
      </c>
      <c r="B514" t="s">
        <v>2851</v>
      </c>
      <c r="C514" t="s">
        <v>2852</v>
      </c>
      <c r="F514" s="2" t="s">
        <v>2853</v>
      </c>
      <c r="L514" t="s">
        <v>24</v>
      </c>
      <c r="M514" t="s">
        <v>25</v>
      </c>
      <c r="O514" t="s">
        <v>26</v>
      </c>
      <c r="P514" t="s">
        <v>2854</v>
      </c>
      <c r="Q514" t="s">
        <v>28</v>
      </c>
      <c r="R514" s="3">
        <v>44074.644907407404</v>
      </c>
      <c r="T514" t="s">
        <v>2855</v>
      </c>
      <c r="U514" t="str">
        <f t="shared" si="28"/>
        <v>["8160dafd-84e7-4540-b9f1-32e6ecff0409"]</v>
      </c>
      <c r="V514" t="str">
        <f t="shared" si="29"/>
        <v/>
      </c>
      <c r="W514" t="str">
        <f t="shared" si="30"/>
        <v/>
      </c>
      <c r="X514" t="str">
        <f t="shared" si="31"/>
        <v/>
      </c>
    </row>
    <row r="515" spans="1:24" x14ac:dyDescent="0.25">
      <c r="A515" t="s">
        <v>2856</v>
      </c>
      <c r="B515" t="s">
        <v>2857</v>
      </c>
      <c r="C515" t="s">
        <v>2858</v>
      </c>
      <c r="F515" t="s">
        <v>2859</v>
      </c>
      <c r="L515" t="s">
        <v>24</v>
      </c>
      <c r="M515" t="s">
        <v>25</v>
      </c>
      <c r="O515" t="s">
        <v>26</v>
      </c>
      <c r="P515" t="s">
        <v>2860</v>
      </c>
      <c r="Q515" t="s">
        <v>28</v>
      </c>
      <c r="R515" s="3">
        <v>44132.409618055557</v>
      </c>
      <c r="T515" t="s">
        <v>2861</v>
      </c>
      <c r="U515" t="str">
        <f t="shared" ref="U515:U578" si="32">LEFT(T515, 1024)</f>
        <v>["09716341-2bea-4298-9525-e936d8247d19", "3179c5b2-9bb5-4a7f-a573-5491ccb0110b", "8becadda-124e-43f3-900e-f1ab685574e5"]</v>
      </c>
      <c r="V515" t="str">
        <f t="shared" ref="V515:V578" si="33">MID(T515, 1025, 1024)</f>
        <v/>
      </c>
      <c r="W515" t="str">
        <f t="shared" ref="W515:W578" si="34">MID(T515, 2049, 1024)</f>
        <v/>
      </c>
      <c r="X515" t="str">
        <f t="shared" ref="X515:X578" si="35">MID(T515, 3073, 1024)</f>
        <v/>
      </c>
    </row>
    <row r="516" spans="1:24" x14ac:dyDescent="0.25">
      <c r="A516" t="s">
        <v>2862</v>
      </c>
      <c r="B516" t="s">
        <v>2863</v>
      </c>
      <c r="C516" t="s">
        <v>2864</v>
      </c>
      <c r="F516" t="s">
        <v>2865</v>
      </c>
      <c r="L516" t="s">
        <v>24</v>
      </c>
      <c r="M516" t="s">
        <v>25</v>
      </c>
      <c r="O516" t="s">
        <v>26</v>
      </c>
      <c r="P516" t="s">
        <v>2866</v>
      </c>
      <c r="Q516" t="s">
        <v>28</v>
      </c>
      <c r="R516" s="3">
        <v>44218.635520833333</v>
      </c>
      <c r="T516" t="s">
        <v>2867</v>
      </c>
      <c r="U516" t="str">
        <f t="shared" si="32"/>
        <v>["ef8e980b-9644-45d8-b0e9-c6aaf0eff0c0", "4b71eb3d-7d55-4967-b80d-91a3f220b60c"]</v>
      </c>
      <c r="V516" t="str">
        <f t="shared" si="33"/>
        <v/>
      </c>
      <c r="W516" t="str">
        <f t="shared" si="34"/>
        <v/>
      </c>
      <c r="X516" t="str">
        <f t="shared" si="35"/>
        <v/>
      </c>
    </row>
    <row r="517" spans="1:24" x14ac:dyDescent="0.25">
      <c r="A517" t="s">
        <v>2868</v>
      </c>
      <c r="B517" t="s">
        <v>2869</v>
      </c>
      <c r="C517" t="s">
        <v>2870</v>
      </c>
      <c r="F517" t="s">
        <v>2871</v>
      </c>
      <c r="L517" t="s">
        <v>24</v>
      </c>
      <c r="M517" t="s">
        <v>25</v>
      </c>
      <c r="O517" t="s">
        <v>26</v>
      </c>
      <c r="P517" t="s">
        <v>2872</v>
      </c>
      <c r="Q517" t="s">
        <v>28</v>
      </c>
      <c r="R517" s="3">
        <v>44288.628472222219</v>
      </c>
      <c r="T517" t="s">
        <v>2873</v>
      </c>
      <c r="U517" t="str">
        <f t="shared" si="32"/>
        <v>["7effe370-ce79-4286-b299-c5d851f546ff"]</v>
      </c>
      <c r="V517" t="str">
        <f t="shared" si="33"/>
        <v/>
      </c>
      <c r="W517" t="str">
        <f t="shared" si="34"/>
        <v/>
      </c>
      <c r="X517" t="str">
        <f t="shared" si="35"/>
        <v/>
      </c>
    </row>
    <row r="518" spans="1:24" ht="409.5" x14ac:dyDescent="0.25">
      <c r="A518" t="s">
        <v>2874</v>
      </c>
      <c r="B518" t="s">
        <v>2875</v>
      </c>
      <c r="C518" t="s">
        <v>2876</v>
      </c>
      <c r="F518" s="2" t="s">
        <v>2877</v>
      </c>
      <c r="L518" t="s">
        <v>24</v>
      </c>
      <c r="M518" t="s">
        <v>25</v>
      </c>
      <c r="O518" t="s">
        <v>26</v>
      </c>
      <c r="P518" t="s">
        <v>2878</v>
      </c>
      <c r="Q518" t="s">
        <v>28</v>
      </c>
      <c r="R518" s="3">
        <v>44417.69976851852</v>
      </c>
      <c r="T518" t="s">
        <v>2879</v>
      </c>
      <c r="U518" t="str">
        <f t="shared" si="32"/>
        <v>["36886c25-6961-4055-96b2-b3e8b138e588", "2c54f4d6-5712-4e5a-a025-b7f7a396c39b"]</v>
      </c>
      <c r="V518" t="str">
        <f t="shared" si="33"/>
        <v/>
      </c>
      <c r="W518" t="str">
        <f t="shared" si="34"/>
        <v/>
      </c>
      <c r="X518" t="str">
        <f t="shared" si="35"/>
        <v/>
      </c>
    </row>
    <row r="519" spans="1:24" x14ac:dyDescent="0.25">
      <c r="A519" t="s">
        <v>2880</v>
      </c>
      <c r="B519" t="s">
        <v>2881</v>
      </c>
      <c r="C519" t="s">
        <v>2882</v>
      </c>
      <c r="F519" t="s">
        <v>2883</v>
      </c>
      <c r="L519" t="s">
        <v>24</v>
      </c>
      <c r="M519" t="s">
        <v>25</v>
      </c>
      <c r="O519" t="s">
        <v>26</v>
      </c>
      <c r="P519" t="s">
        <v>2884</v>
      </c>
      <c r="Q519" t="s">
        <v>28</v>
      </c>
      <c r="R519" s="3">
        <v>44292.495034722226</v>
      </c>
      <c r="T519" t="s">
        <v>2885</v>
      </c>
      <c r="U519" t="str">
        <f t="shared" si="32"/>
        <v>["f33dc893-bd57-4e5c-a3b0-e32925f4f6b1"]</v>
      </c>
      <c r="V519" t="str">
        <f t="shared" si="33"/>
        <v/>
      </c>
      <c r="W519" t="str">
        <f t="shared" si="34"/>
        <v/>
      </c>
      <c r="X519" t="str">
        <f t="shared" si="35"/>
        <v/>
      </c>
    </row>
    <row r="520" spans="1:24" x14ac:dyDescent="0.25">
      <c r="A520" t="s">
        <v>2886</v>
      </c>
      <c r="B520" t="s">
        <v>2887</v>
      </c>
      <c r="C520" t="s">
        <v>2888</v>
      </c>
      <c r="F520" t="s">
        <v>2889</v>
      </c>
      <c r="L520" t="s">
        <v>24</v>
      </c>
      <c r="M520" t="s">
        <v>25</v>
      </c>
      <c r="O520" t="s">
        <v>26</v>
      </c>
      <c r="P520" t="s">
        <v>2890</v>
      </c>
      <c r="Q520" t="s">
        <v>28</v>
      </c>
      <c r="R520" s="3">
        <v>44964.77548611111</v>
      </c>
      <c r="T520" t="s">
        <v>2891</v>
      </c>
      <c r="U520" t="str">
        <f t="shared" si="32"/>
        <v>["6d731e6e-7dcf-4bde-8061-d0e195f62f6c"]</v>
      </c>
      <c r="V520" t="str">
        <f t="shared" si="33"/>
        <v/>
      </c>
      <c r="W520" t="str">
        <f t="shared" si="34"/>
        <v/>
      </c>
      <c r="X520" t="str">
        <f t="shared" si="35"/>
        <v/>
      </c>
    </row>
    <row r="521" spans="1:24" x14ac:dyDescent="0.25">
      <c r="A521" t="s">
        <v>2892</v>
      </c>
      <c r="B521" t="s">
        <v>2893</v>
      </c>
      <c r="C521" t="s">
        <v>2894</v>
      </c>
      <c r="F521" t="s">
        <v>2895</v>
      </c>
      <c r="L521" t="s">
        <v>24</v>
      </c>
      <c r="M521" t="s">
        <v>25</v>
      </c>
      <c r="O521" t="s">
        <v>26</v>
      </c>
      <c r="P521" t="s">
        <v>2896</v>
      </c>
      <c r="Q521" t="s">
        <v>28</v>
      </c>
      <c r="R521" s="3">
        <v>45112.439363425925</v>
      </c>
      <c r="T521" t="s">
        <v>2897</v>
      </c>
      <c r="U521" t="str">
        <f t="shared" si="32"/>
        <v>["eadb9328-97cb-4cac-b885-032f26f349cc"]</v>
      </c>
      <c r="V521" t="str">
        <f t="shared" si="33"/>
        <v/>
      </c>
      <c r="W521" t="str">
        <f t="shared" si="34"/>
        <v/>
      </c>
      <c r="X521" t="str">
        <f t="shared" si="35"/>
        <v/>
      </c>
    </row>
    <row r="522" spans="1:24" x14ac:dyDescent="0.25">
      <c r="A522" t="s">
        <v>2898</v>
      </c>
      <c r="B522" t="s">
        <v>2899</v>
      </c>
      <c r="C522" t="s">
        <v>2900</v>
      </c>
      <c r="F522" t="s">
        <v>2901</v>
      </c>
      <c r="L522" t="s">
        <v>24</v>
      </c>
      <c r="M522" t="s">
        <v>25</v>
      </c>
      <c r="O522" t="s">
        <v>26</v>
      </c>
      <c r="P522" t="s">
        <v>2902</v>
      </c>
      <c r="Q522" t="s">
        <v>28</v>
      </c>
      <c r="R522" s="3">
        <v>44081.361481481479</v>
      </c>
      <c r="T522" t="s">
        <v>2578</v>
      </c>
      <c r="U522" t="str">
        <f t="shared" si="32"/>
        <v>["52abfc2b-031c-4875-b838-653abbfccf4e"]</v>
      </c>
      <c r="V522" t="str">
        <f t="shared" si="33"/>
        <v/>
      </c>
      <c r="W522" t="str">
        <f t="shared" si="34"/>
        <v/>
      </c>
      <c r="X522" t="str">
        <f t="shared" si="35"/>
        <v/>
      </c>
    </row>
    <row r="523" spans="1:24" x14ac:dyDescent="0.25">
      <c r="A523" t="s">
        <v>2903</v>
      </c>
      <c r="B523" t="s">
        <v>2904</v>
      </c>
      <c r="C523" t="s">
        <v>2905</v>
      </c>
      <c r="F523" t="s">
        <v>2906</v>
      </c>
      <c r="L523" t="s">
        <v>24</v>
      </c>
      <c r="M523" t="s">
        <v>25</v>
      </c>
      <c r="O523" t="s">
        <v>26</v>
      </c>
      <c r="P523" t="s">
        <v>2907</v>
      </c>
      <c r="Q523" t="s">
        <v>28</v>
      </c>
      <c r="R523" s="3">
        <v>44074.703009259261</v>
      </c>
      <c r="T523" t="s">
        <v>29</v>
      </c>
      <c r="U523" t="str">
        <f t="shared" si="32"/>
        <v>[]</v>
      </c>
      <c r="V523" t="str">
        <f t="shared" si="33"/>
        <v/>
      </c>
      <c r="W523" t="str">
        <f t="shared" si="34"/>
        <v/>
      </c>
      <c r="X523" t="str">
        <f t="shared" si="35"/>
        <v/>
      </c>
    </row>
    <row r="524" spans="1:24" x14ac:dyDescent="0.25">
      <c r="A524" t="s">
        <v>2908</v>
      </c>
      <c r="B524" t="s">
        <v>2909</v>
      </c>
      <c r="C524" t="s">
        <v>2910</v>
      </c>
      <c r="F524" t="s">
        <v>2911</v>
      </c>
      <c r="L524" t="s">
        <v>24</v>
      </c>
      <c r="M524" t="s">
        <v>25</v>
      </c>
      <c r="O524" t="s">
        <v>26</v>
      </c>
      <c r="P524" t="s">
        <v>2912</v>
      </c>
      <c r="Q524" t="s">
        <v>28</v>
      </c>
      <c r="R524" s="3">
        <v>44092.339884259258</v>
      </c>
      <c r="T524" t="s">
        <v>2578</v>
      </c>
      <c r="U524" t="str">
        <f t="shared" si="32"/>
        <v>["52abfc2b-031c-4875-b838-653abbfccf4e"]</v>
      </c>
      <c r="V524" t="str">
        <f t="shared" si="33"/>
        <v/>
      </c>
      <c r="W524" t="str">
        <f t="shared" si="34"/>
        <v/>
      </c>
      <c r="X524" t="str">
        <f t="shared" si="35"/>
        <v/>
      </c>
    </row>
    <row r="525" spans="1:24" x14ac:dyDescent="0.25">
      <c r="A525" t="s">
        <v>2913</v>
      </c>
      <c r="B525" t="s">
        <v>2914</v>
      </c>
      <c r="C525" t="s">
        <v>2915</v>
      </c>
      <c r="F525" t="s">
        <v>2916</v>
      </c>
      <c r="L525" t="s">
        <v>24</v>
      </c>
      <c r="M525" t="s">
        <v>25</v>
      </c>
      <c r="O525" t="s">
        <v>26</v>
      </c>
      <c r="P525" t="s">
        <v>2917</v>
      </c>
      <c r="Q525" t="s">
        <v>28</v>
      </c>
      <c r="R525" s="3">
        <v>44120.50577546296</v>
      </c>
      <c r="T525" t="s">
        <v>1340</v>
      </c>
      <c r="U525" t="str">
        <f t="shared" si="32"/>
        <v>["0fb9ae1a-92cb-4ab8-a589-470c16d4fe21"]</v>
      </c>
      <c r="V525" t="str">
        <f t="shared" si="33"/>
        <v/>
      </c>
      <c r="W525" t="str">
        <f t="shared" si="34"/>
        <v/>
      </c>
      <c r="X525" t="str">
        <f t="shared" si="35"/>
        <v/>
      </c>
    </row>
    <row r="526" spans="1:24" x14ac:dyDescent="0.25">
      <c r="A526" t="s">
        <v>2918</v>
      </c>
      <c r="B526" t="s">
        <v>2919</v>
      </c>
      <c r="C526" t="s">
        <v>2920</v>
      </c>
      <c r="F526" t="s">
        <v>2921</v>
      </c>
      <c r="L526" t="s">
        <v>24</v>
      </c>
      <c r="M526" t="s">
        <v>25</v>
      </c>
      <c r="O526" t="s">
        <v>26</v>
      </c>
      <c r="P526" t="s">
        <v>2922</v>
      </c>
      <c r="Q526" t="s">
        <v>28</v>
      </c>
      <c r="R526" s="3">
        <v>45051.669606481482</v>
      </c>
      <c r="T526" t="s">
        <v>2923</v>
      </c>
      <c r="U526" t="str">
        <f t="shared" si="32"/>
        <v>["808ef482-f28e-4bb9-8895-30f2e81010f0", "cdb89665-1fa8-4af3-9c76-27afbccc6628"]</v>
      </c>
      <c r="V526" t="str">
        <f t="shared" si="33"/>
        <v/>
      </c>
      <c r="W526" t="str">
        <f t="shared" si="34"/>
        <v/>
      </c>
      <c r="X526" t="str">
        <f t="shared" si="35"/>
        <v/>
      </c>
    </row>
    <row r="527" spans="1:24" ht="409.5" x14ac:dyDescent="0.25">
      <c r="A527" t="s">
        <v>2924</v>
      </c>
      <c r="B527" t="s">
        <v>2925</v>
      </c>
      <c r="C527" t="s">
        <v>2926</v>
      </c>
      <c r="F527" s="2" t="s">
        <v>2927</v>
      </c>
      <c r="L527" t="s">
        <v>24</v>
      </c>
      <c r="M527" t="s">
        <v>25</v>
      </c>
      <c r="O527" t="s">
        <v>26</v>
      </c>
      <c r="P527" t="s">
        <v>2928</v>
      </c>
      <c r="Q527" t="s">
        <v>28</v>
      </c>
      <c r="R527" s="3">
        <v>44078.496851851851</v>
      </c>
      <c r="T527" t="s">
        <v>2578</v>
      </c>
      <c r="U527" t="str">
        <f t="shared" si="32"/>
        <v>["52abfc2b-031c-4875-b838-653abbfccf4e"]</v>
      </c>
      <c r="V527" t="str">
        <f t="shared" si="33"/>
        <v/>
      </c>
      <c r="W527" t="str">
        <f t="shared" si="34"/>
        <v/>
      </c>
      <c r="X527" t="str">
        <f t="shared" si="35"/>
        <v/>
      </c>
    </row>
    <row r="528" spans="1:24" x14ac:dyDescent="0.25">
      <c r="A528" t="s">
        <v>2929</v>
      </c>
      <c r="B528" t="s">
        <v>2930</v>
      </c>
      <c r="C528" t="s">
        <v>2931</v>
      </c>
      <c r="F528" t="s">
        <v>2932</v>
      </c>
      <c r="L528" t="s">
        <v>24</v>
      </c>
      <c r="M528" t="s">
        <v>25</v>
      </c>
      <c r="O528" t="s">
        <v>26</v>
      </c>
      <c r="P528" t="s">
        <v>2933</v>
      </c>
      <c r="Q528" t="s">
        <v>28</v>
      </c>
      <c r="R528" s="3">
        <v>44098.4375</v>
      </c>
      <c r="T528" t="s">
        <v>2934</v>
      </c>
      <c r="U528" t="str">
        <f t="shared" si="32"/>
        <v>["52abfc2b-031c-4875-b838-653abbfccf4e", "6d731e6e-7dcf-4bde-8061-d0e195f62f6c", "87dd1233-938d-39a3-84b7-84f6bc953747"]</v>
      </c>
      <c r="V528" t="str">
        <f t="shared" si="33"/>
        <v/>
      </c>
      <c r="W528" t="str">
        <f t="shared" si="34"/>
        <v/>
      </c>
      <c r="X528" t="str">
        <f t="shared" si="35"/>
        <v/>
      </c>
    </row>
    <row r="529" spans="1:24" x14ac:dyDescent="0.25">
      <c r="A529" t="s">
        <v>2935</v>
      </c>
      <c r="B529" t="s">
        <v>2936</v>
      </c>
      <c r="C529" t="s">
        <v>2937</v>
      </c>
      <c r="F529" t="s">
        <v>2938</v>
      </c>
      <c r="L529" t="s">
        <v>24</v>
      </c>
      <c r="M529" t="s">
        <v>25</v>
      </c>
      <c r="O529" t="s">
        <v>26</v>
      </c>
      <c r="P529" t="s">
        <v>2939</v>
      </c>
      <c r="Q529" t="s">
        <v>28</v>
      </c>
      <c r="R529" s="3">
        <v>44151.639027777775</v>
      </c>
      <c r="T529" t="s">
        <v>2940</v>
      </c>
      <c r="U529" t="str">
        <f t="shared" si="32"/>
        <v>["2c54f4d6-5712-4e5a-a025-b7f7a396c39b", "4f677177-23bc-4f0a-8dbf-578762c8d976"]</v>
      </c>
      <c r="V529" t="str">
        <f t="shared" si="33"/>
        <v/>
      </c>
      <c r="W529" t="str">
        <f t="shared" si="34"/>
        <v/>
      </c>
      <c r="X529" t="str">
        <f t="shared" si="35"/>
        <v/>
      </c>
    </row>
    <row r="530" spans="1:24" x14ac:dyDescent="0.25">
      <c r="A530" t="s">
        <v>2941</v>
      </c>
      <c r="B530" t="s">
        <v>2942</v>
      </c>
      <c r="C530" t="s">
        <v>2943</v>
      </c>
      <c r="F530" t="s">
        <v>2944</v>
      </c>
      <c r="L530" t="s">
        <v>24</v>
      </c>
      <c r="M530" t="s">
        <v>25</v>
      </c>
      <c r="O530" t="s">
        <v>26</v>
      </c>
      <c r="P530" t="s">
        <v>2945</v>
      </c>
      <c r="Q530" t="s">
        <v>28</v>
      </c>
      <c r="R530" s="3">
        <v>44370.72388888889</v>
      </c>
      <c r="T530" t="s">
        <v>674</v>
      </c>
      <c r="U530" t="str">
        <f t="shared" si="32"/>
        <v>["522d3045-0b37-48d0-b868-57c99726b1c4"]</v>
      </c>
      <c r="V530" t="str">
        <f t="shared" si="33"/>
        <v/>
      </c>
      <c r="W530" t="str">
        <f t="shared" si="34"/>
        <v/>
      </c>
      <c r="X530" t="str">
        <f t="shared" si="35"/>
        <v/>
      </c>
    </row>
    <row r="531" spans="1:24" x14ac:dyDescent="0.25">
      <c r="A531" t="s">
        <v>2946</v>
      </c>
      <c r="B531" t="s">
        <v>2947</v>
      </c>
      <c r="C531" t="s">
        <v>2948</v>
      </c>
      <c r="F531" t="s">
        <v>2949</v>
      </c>
      <c r="L531" t="s">
        <v>24</v>
      </c>
      <c r="M531" t="s">
        <v>25</v>
      </c>
      <c r="O531" t="s">
        <v>26</v>
      </c>
      <c r="P531" t="s">
        <v>2950</v>
      </c>
      <c r="Q531" t="s">
        <v>28</v>
      </c>
      <c r="R531" s="3">
        <v>44140.699062500003</v>
      </c>
      <c r="T531" t="s">
        <v>2738</v>
      </c>
      <c r="U531" t="str">
        <f t="shared" si="32"/>
        <v>["2f6649b6-2b2d-49a9-ab31-6c7e43728001"]</v>
      </c>
      <c r="V531" t="str">
        <f t="shared" si="33"/>
        <v/>
      </c>
      <c r="W531" t="str">
        <f t="shared" si="34"/>
        <v/>
      </c>
      <c r="X531" t="str">
        <f t="shared" si="35"/>
        <v/>
      </c>
    </row>
    <row r="532" spans="1:24" x14ac:dyDescent="0.25">
      <c r="A532" t="s">
        <v>2951</v>
      </c>
      <c r="B532" t="s">
        <v>2952</v>
      </c>
      <c r="C532" t="s">
        <v>2953</v>
      </c>
      <c r="F532" t="s">
        <v>2954</v>
      </c>
      <c r="L532" t="s">
        <v>24</v>
      </c>
      <c r="M532" t="s">
        <v>25</v>
      </c>
      <c r="O532" t="s">
        <v>26</v>
      </c>
      <c r="P532" t="s">
        <v>2955</v>
      </c>
      <c r="Q532" t="s">
        <v>28</v>
      </c>
      <c r="R532" s="3">
        <v>44417.723275462966</v>
      </c>
      <c r="T532" t="s">
        <v>433</v>
      </c>
      <c r="U532" t="str">
        <f t="shared" si="32"/>
        <v>["2c54f4d6-5712-4e5a-a025-b7f7a396c39b"]</v>
      </c>
      <c r="V532" t="str">
        <f t="shared" si="33"/>
        <v/>
      </c>
      <c r="W532" t="str">
        <f t="shared" si="34"/>
        <v/>
      </c>
      <c r="X532" t="str">
        <f t="shared" si="35"/>
        <v/>
      </c>
    </row>
    <row r="533" spans="1:24" ht="409.5" x14ac:dyDescent="0.25">
      <c r="A533" t="s">
        <v>2956</v>
      </c>
      <c r="B533" t="s">
        <v>2957</v>
      </c>
      <c r="C533" t="s">
        <v>2958</v>
      </c>
      <c r="F533" s="2" t="s">
        <v>2959</v>
      </c>
      <c r="L533" t="s">
        <v>24</v>
      </c>
      <c r="M533" t="s">
        <v>25</v>
      </c>
      <c r="O533" t="s">
        <v>26</v>
      </c>
      <c r="P533" t="s">
        <v>2960</v>
      </c>
      <c r="Q533" t="s">
        <v>28</v>
      </c>
      <c r="R533" s="3">
        <v>44188.794039351851</v>
      </c>
      <c r="T533" t="s">
        <v>2961</v>
      </c>
      <c r="U533" t="str">
        <f t="shared" si="32"/>
        <v>["a16d2431-eeec-4e76-8280-b1ac7b4082ff", "3ae40a5c-88ce-4cfe-8fa1-f64d97c47bd4", "d61ed212-9915-4018-a350-caecfda3e0c6"]</v>
      </c>
      <c r="V533" t="str">
        <f t="shared" si="33"/>
        <v/>
      </c>
      <c r="W533" t="str">
        <f t="shared" si="34"/>
        <v/>
      </c>
      <c r="X533" t="str">
        <f t="shared" si="35"/>
        <v/>
      </c>
    </row>
    <row r="534" spans="1:24" ht="409.5" x14ac:dyDescent="0.25">
      <c r="A534" t="s">
        <v>2962</v>
      </c>
      <c r="B534" t="s">
        <v>2963</v>
      </c>
      <c r="C534" t="s">
        <v>2964</v>
      </c>
      <c r="F534" s="2" t="s">
        <v>2965</v>
      </c>
      <c r="L534" t="s">
        <v>24</v>
      </c>
      <c r="M534" t="s">
        <v>25</v>
      </c>
      <c r="O534" t="s">
        <v>26</v>
      </c>
      <c r="P534" t="s">
        <v>2966</v>
      </c>
      <c r="Q534" t="s">
        <v>28</v>
      </c>
      <c r="R534" s="3">
        <v>44333.53502314815</v>
      </c>
      <c r="T534" t="s">
        <v>2764</v>
      </c>
      <c r="U534" t="str">
        <f t="shared" si="32"/>
        <v>["86d88cae-ad97-4476-bae5-73488a12776d"]</v>
      </c>
      <c r="V534" t="str">
        <f t="shared" si="33"/>
        <v/>
      </c>
      <c r="W534" t="str">
        <f t="shared" si="34"/>
        <v/>
      </c>
      <c r="X534" t="str">
        <f t="shared" si="35"/>
        <v/>
      </c>
    </row>
    <row r="535" spans="1:24" x14ac:dyDescent="0.25">
      <c r="A535" t="s">
        <v>2967</v>
      </c>
      <c r="B535" t="s">
        <v>2968</v>
      </c>
      <c r="C535" t="s">
        <v>2969</v>
      </c>
      <c r="F535" t="s">
        <v>2970</v>
      </c>
      <c r="L535" t="s">
        <v>24</v>
      </c>
      <c r="M535" t="s">
        <v>25</v>
      </c>
      <c r="O535" t="s">
        <v>26</v>
      </c>
      <c r="P535" t="s">
        <v>2971</v>
      </c>
      <c r="Q535" t="s">
        <v>28</v>
      </c>
      <c r="R535" s="3">
        <v>44083.381898148145</v>
      </c>
      <c r="T535" t="s">
        <v>2578</v>
      </c>
      <c r="U535" t="str">
        <f t="shared" si="32"/>
        <v>["52abfc2b-031c-4875-b838-653abbfccf4e"]</v>
      </c>
      <c r="V535" t="str">
        <f t="shared" si="33"/>
        <v/>
      </c>
      <c r="W535" t="str">
        <f t="shared" si="34"/>
        <v/>
      </c>
      <c r="X535" t="str">
        <f t="shared" si="35"/>
        <v/>
      </c>
    </row>
    <row r="536" spans="1:24" x14ac:dyDescent="0.25">
      <c r="A536" t="s">
        <v>2972</v>
      </c>
      <c r="B536" t="s">
        <v>2973</v>
      </c>
      <c r="C536" t="s">
        <v>2974</v>
      </c>
      <c r="F536" t="s">
        <v>2975</v>
      </c>
      <c r="L536" t="s">
        <v>24</v>
      </c>
      <c r="M536" t="s">
        <v>25</v>
      </c>
      <c r="O536" t="s">
        <v>26</v>
      </c>
      <c r="P536" t="s">
        <v>2976</v>
      </c>
      <c r="Q536" t="s">
        <v>28</v>
      </c>
      <c r="R536" s="3">
        <v>44524.678206018521</v>
      </c>
      <c r="T536" t="s">
        <v>2977</v>
      </c>
      <c r="U536" t="str">
        <f t="shared" si="32"/>
        <v>["3765ed62-0f9d-49ad-83b0-1405ed833108", "ef8e980b-9644-45d8-b0e9-c6aaf0eff0c0", "276ffd1e-efdd-42e2-b6c9-04fb5fa2b7ea", "846448a5-a26e-4297-ac08-ad7040af20f1"]</v>
      </c>
      <c r="V536" t="str">
        <f t="shared" si="33"/>
        <v/>
      </c>
      <c r="W536" t="str">
        <f t="shared" si="34"/>
        <v/>
      </c>
      <c r="X536" t="str">
        <f t="shared" si="35"/>
        <v/>
      </c>
    </row>
    <row r="537" spans="1:24" x14ac:dyDescent="0.25">
      <c r="A537" t="s">
        <v>2978</v>
      </c>
      <c r="B537" t="s">
        <v>2979</v>
      </c>
      <c r="C537" t="s">
        <v>2980</v>
      </c>
      <c r="F537" t="s">
        <v>2981</v>
      </c>
      <c r="L537" t="s">
        <v>24</v>
      </c>
      <c r="M537" t="s">
        <v>25</v>
      </c>
      <c r="O537" t="s">
        <v>26</v>
      </c>
      <c r="P537" t="s">
        <v>2982</v>
      </c>
      <c r="Q537" t="s">
        <v>28</v>
      </c>
      <c r="R537" s="3">
        <v>44420.714444444442</v>
      </c>
      <c r="T537" t="s">
        <v>2983</v>
      </c>
      <c r="U537" t="str">
        <f t="shared" si="32"/>
        <v>["2c54f4d6-5712-4e5a-a025-b7f7a396c39b", "254757be-69ef-4a6c-a4c1-1432815d7522", "51bdc6dc-25ae-41de-b8f3-938f9056af62"]</v>
      </c>
      <c r="V537" t="str">
        <f t="shared" si="33"/>
        <v/>
      </c>
      <c r="W537" t="str">
        <f t="shared" si="34"/>
        <v/>
      </c>
      <c r="X537" t="str">
        <f t="shared" si="35"/>
        <v/>
      </c>
    </row>
    <row r="538" spans="1:24" x14ac:dyDescent="0.25">
      <c r="A538" t="s">
        <v>2984</v>
      </c>
      <c r="B538" t="s">
        <v>2985</v>
      </c>
      <c r="C538" t="s">
        <v>2986</v>
      </c>
      <c r="F538" t="s">
        <v>2987</v>
      </c>
      <c r="L538" t="s">
        <v>24</v>
      </c>
      <c r="M538" t="s">
        <v>25</v>
      </c>
      <c r="O538" t="s">
        <v>26</v>
      </c>
      <c r="P538" t="s">
        <v>2988</v>
      </c>
      <c r="Q538" t="s">
        <v>28</v>
      </c>
      <c r="R538" s="3">
        <v>44708.477476851855</v>
      </c>
      <c r="T538" t="s">
        <v>2989</v>
      </c>
      <c r="U538" t="str">
        <f t="shared" si="32"/>
        <v>["cede9004-ba9f-4a4f-8bed-773927c17f48", "6fdea17f-9eac-4860-8b35-6108e792e6b1", "d76c0e8b-c599-4700-8a88-29d0d87e563d", "b29308e9-3888-44be-ac2f-8f1515ac0347", "7a8aae59-71a4-4500-b38b-bdf15c7f627f", "fff27cd6-426c-479f-ae66-077ae6f1437d"]</v>
      </c>
      <c r="V538" t="str">
        <f t="shared" si="33"/>
        <v/>
      </c>
      <c r="W538" t="str">
        <f t="shared" si="34"/>
        <v/>
      </c>
      <c r="X538" t="str">
        <f t="shared" si="35"/>
        <v/>
      </c>
    </row>
    <row r="539" spans="1:24" x14ac:dyDescent="0.25">
      <c r="A539" t="s">
        <v>2990</v>
      </c>
      <c r="B539" t="s">
        <v>2991</v>
      </c>
      <c r="C539" t="s">
        <v>2992</v>
      </c>
      <c r="F539" t="s">
        <v>2993</v>
      </c>
      <c r="L539" t="s">
        <v>24</v>
      </c>
      <c r="M539" t="s">
        <v>25</v>
      </c>
      <c r="O539" t="s">
        <v>26</v>
      </c>
      <c r="P539" t="s">
        <v>2994</v>
      </c>
      <c r="Q539" t="s">
        <v>28</v>
      </c>
      <c r="R539" s="3">
        <v>44123.659930555557</v>
      </c>
      <c r="T539" t="s">
        <v>1340</v>
      </c>
      <c r="U539" t="str">
        <f t="shared" si="32"/>
        <v>["0fb9ae1a-92cb-4ab8-a589-470c16d4fe21"]</v>
      </c>
      <c r="V539" t="str">
        <f t="shared" si="33"/>
        <v/>
      </c>
      <c r="W539" t="str">
        <f t="shared" si="34"/>
        <v/>
      </c>
      <c r="X539" t="str">
        <f t="shared" si="35"/>
        <v/>
      </c>
    </row>
    <row r="540" spans="1:24" x14ac:dyDescent="0.25">
      <c r="A540" t="s">
        <v>2995</v>
      </c>
      <c r="B540" t="s">
        <v>2996</v>
      </c>
      <c r="C540" t="s">
        <v>2997</v>
      </c>
      <c r="F540" t="s">
        <v>2998</v>
      </c>
      <c r="L540" t="s">
        <v>24</v>
      </c>
      <c r="M540" t="s">
        <v>25</v>
      </c>
      <c r="O540" t="s">
        <v>26</v>
      </c>
      <c r="P540" t="s">
        <v>2999</v>
      </c>
      <c r="Q540" t="s">
        <v>28</v>
      </c>
      <c r="R540" s="3">
        <v>44218.658541666664</v>
      </c>
      <c r="T540" t="s">
        <v>2388</v>
      </c>
      <c r="U540" t="str">
        <f t="shared" si="32"/>
        <v>["ef8e980b-9644-45d8-b0e9-c6aaf0eff0c0"]</v>
      </c>
      <c r="V540" t="str">
        <f t="shared" si="33"/>
        <v/>
      </c>
      <c r="W540" t="str">
        <f t="shared" si="34"/>
        <v/>
      </c>
      <c r="X540" t="str">
        <f t="shared" si="35"/>
        <v/>
      </c>
    </row>
    <row r="541" spans="1:24" ht="409.5" x14ac:dyDescent="0.25">
      <c r="A541" t="s">
        <v>3000</v>
      </c>
      <c r="B541" t="s">
        <v>3001</v>
      </c>
      <c r="C541" t="s">
        <v>3002</v>
      </c>
      <c r="F541" s="2" t="s">
        <v>3003</v>
      </c>
      <c r="L541" t="s">
        <v>24</v>
      </c>
      <c r="M541" t="s">
        <v>25</v>
      </c>
      <c r="O541" t="s">
        <v>26</v>
      </c>
      <c r="P541" t="s">
        <v>3004</v>
      </c>
      <c r="Q541" t="s">
        <v>28</v>
      </c>
      <c r="R541" s="3">
        <v>44168.58189814815</v>
      </c>
      <c r="T541" t="s">
        <v>3005</v>
      </c>
      <c r="U541" t="str">
        <f t="shared" si="32"/>
        <v>["3765ed62-0f9d-49ad-83b0-1405ed833108", "2f6649b6-2b2d-49a9-ab31-6c7e43728001", "ef8e980b-9644-45d8-b0e9-c6aaf0eff0c0", "846448a5-a26e-4297-ac08-ad7040af20f1", "4b71eb3d-7d55-4967-b80d-91a3f220b60c"]</v>
      </c>
      <c r="V541" t="str">
        <f t="shared" si="33"/>
        <v/>
      </c>
      <c r="W541" t="str">
        <f t="shared" si="34"/>
        <v/>
      </c>
      <c r="X541" t="str">
        <f t="shared" si="35"/>
        <v/>
      </c>
    </row>
    <row r="542" spans="1:24" x14ac:dyDescent="0.25">
      <c r="A542" t="s">
        <v>3006</v>
      </c>
      <c r="B542" t="s">
        <v>3007</v>
      </c>
      <c r="C542" t="s">
        <v>3008</v>
      </c>
      <c r="F542" t="s">
        <v>3009</v>
      </c>
      <c r="L542" t="s">
        <v>24</v>
      </c>
      <c r="M542" t="s">
        <v>25</v>
      </c>
      <c r="O542" t="s">
        <v>26</v>
      </c>
      <c r="P542" t="s">
        <v>3010</v>
      </c>
      <c r="Q542" t="s">
        <v>28</v>
      </c>
      <c r="R542" s="3">
        <v>44222.301145833335</v>
      </c>
      <c r="T542" t="s">
        <v>3011</v>
      </c>
      <c r="U542" t="str">
        <f t="shared" si="32"/>
        <v>["4312623f-2cdc-4a59-bea5-877310e6e48d"]</v>
      </c>
      <c r="V542" t="str">
        <f t="shared" si="33"/>
        <v/>
      </c>
      <c r="W542" t="str">
        <f t="shared" si="34"/>
        <v/>
      </c>
      <c r="X542" t="str">
        <f t="shared" si="35"/>
        <v/>
      </c>
    </row>
    <row r="543" spans="1:24" x14ac:dyDescent="0.25">
      <c r="A543" t="s">
        <v>3012</v>
      </c>
      <c r="B543" t="s">
        <v>3013</v>
      </c>
      <c r="C543" t="s">
        <v>3014</v>
      </c>
      <c r="F543" t="s">
        <v>3015</v>
      </c>
      <c r="L543" t="s">
        <v>24</v>
      </c>
      <c r="M543" t="s">
        <v>25</v>
      </c>
      <c r="O543" t="s">
        <v>26</v>
      </c>
      <c r="P543" t="s">
        <v>3016</v>
      </c>
      <c r="Q543" t="s">
        <v>28</v>
      </c>
      <c r="R543" s="3">
        <v>44517.43204861111</v>
      </c>
      <c r="T543" t="s">
        <v>3017</v>
      </c>
      <c r="U543" t="str">
        <f t="shared" si="32"/>
        <v>["276ffd1e-efdd-42e2-b6c9-04fb5fa2b7ea"]</v>
      </c>
      <c r="V543" t="str">
        <f t="shared" si="33"/>
        <v/>
      </c>
      <c r="W543" t="str">
        <f t="shared" si="34"/>
        <v/>
      </c>
      <c r="X543" t="str">
        <f t="shared" si="35"/>
        <v/>
      </c>
    </row>
    <row r="544" spans="1:24" ht="409.5" x14ac:dyDescent="0.25">
      <c r="A544" t="s">
        <v>3018</v>
      </c>
      <c r="B544" t="s">
        <v>3019</v>
      </c>
      <c r="C544" t="s">
        <v>3020</v>
      </c>
      <c r="F544" s="2" t="s">
        <v>3021</v>
      </c>
      <c r="L544" t="s">
        <v>24</v>
      </c>
      <c r="M544" t="s">
        <v>25</v>
      </c>
      <c r="O544" t="s">
        <v>26</v>
      </c>
      <c r="P544" t="s">
        <v>3022</v>
      </c>
      <c r="Q544" t="s">
        <v>28</v>
      </c>
      <c r="R544" s="3">
        <v>44208.571400462963</v>
      </c>
      <c r="T544" t="s">
        <v>1967</v>
      </c>
      <c r="U544" t="str">
        <f t="shared" si="32"/>
        <v>["4b71eb3d-7d55-4967-b80d-91a3f220b60c"]</v>
      </c>
      <c r="V544" t="str">
        <f t="shared" si="33"/>
        <v/>
      </c>
      <c r="W544" t="str">
        <f t="shared" si="34"/>
        <v/>
      </c>
      <c r="X544" t="str">
        <f t="shared" si="35"/>
        <v/>
      </c>
    </row>
    <row r="545" spans="1:24" ht="409.5" x14ac:dyDescent="0.25">
      <c r="A545" t="s">
        <v>3023</v>
      </c>
      <c r="B545" t="s">
        <v>3024</v>
      </c>
      <c r="C545" t="s">
        <v>3025</v>
      </c>
      <c r="F545" s="2" t="s">
        <v>3026</v>
      </c>
      <c r="L545" t="s">
        <v>24</v>
      </c>
      <c r="M545" t="s">
        <v>25</v>
      </c>
      <c r="O545" t="s">
        <v>26</v>
      </c>
      <c r="P545" t="s">
        <v>3027</v>
      </c>
      <c r="Q545" t="s">
        <v>28</v>
      </c>
      <c r="R545" s="3">
        <v>44264.68582175926</v>
      </c>
      <c r="T545" t="s">
        <v>3011</v>
      </c>
      <c r="U545" t="str">
        <f t="shared" si="32"/>
        <v>["4312623f-2cdc-4a59-bea5-877310e6e48d"]</v>
      </c>
      <c r="V545" t="str">
        <f t="shared" si="33"/>
        <v/>
      </c>
      <c r="W545" t="str">
        <f t="shared" si="34"/>
        <v/>
      </c>
      <c r="X545" t="str">
        <f t="shared" si="35"/>
        <v/>
      </c>
    </row>
    <row r="546" spans="1:24" x14ac:dyDescent="0.25">
      <c r="A546" t="s">
        <v>3028</v>
      </c>
      <c r="B546" t="s">
        <v>3029</v>
      </c>
      <c r="C546" t="s">
        <v>3030</v>
      </c>
      <c r="F546" t="s">
        <v>3031</v>
      </c>
      <c r="L546" t="s">
        <v>24</v>
      </c>
      <c r="M546" t="s">
        <v>25</v>
      </c>
      <c r="O546" t="s">
        <v>26</v>
      </c>
      <c r="P546" t="s">
        <v>3032</v>
      </c>
      <c r="Q546" t="s">
        <v>28</v>
      </c>
      <c r="R546" s="3">
        <v>44515.690625000003</v>
      </c>
      <c r="T546" t="s">
        <v>1967</v>
      </c>
      <c r="U546" t="str">
        <f t="shared" si="32"/>
        <v>["4b71eb3d-7d55-4967-b80d-91a3f220b60c"]</v>
      </c>
      <c r="V546" t="str">
        <f t="shared" si="33"/>
        <v/>
      </c>
      <c r="W546" t="str">
        <f t="shared" si="34"/>
        <v/>
      </c>
      <c r="X546" t="str">
        <f t="shared" si="35"/>
        <v/>
      </c>
    </row>
    <row r="547" spans="1:24" x14ac:dyDescent="0.25">
      <c r="A547" t="s">
        <v>3033</v>
      </c>
      <c r="B547" t="s">
        <v>3034</v>
      </c>
      <c r="C547" t="s">
        <v>3035</v>
      </c>
      <c r="F547" t="s">
        <v>3036</v>
      </c>
      <c r="L547" t="s">
        <v>24</v>
      </c>
      <c r="M547" t="s">
        <v>25</v>
      </c>
      <c r="O547" t="s">
        <v>26</v>
      </c>
      <c r="P547" t="s">
        <v>3037</v>
      </c>
      <c r="Q547" t="s">
        <v>28</v>
      </c>
      <c r="R547" s="3">
        <v>44536.694444444445</v>
      </c>
      <c r="T547" t="s">
        <v>3038</v>
      </c>
      <c r="U547" t="str">
        <f t="shared" si="32"/>
        <v>["d230c9e8-745a-4da3-a3b4-86842591d9f0", "566c99be-b436-365e-af4f-27be6c536358"]</v>
      </c>
      <c r="V547" t="str">
        <f t="shared" si="33"/>
        <v/>
      </c>
      <c r="W547" t="str">
        <f t="shared" si="34"/>
        <v/>
      </c>
      <c r="X547" t="str">
        <f t="shared" si="35"/>
        <v/>
      </c>
    </row>
    <row r="548" spans="1:24" x14ac:dyDescent="0.25">
      <c r="A548" t="s">
        <v>3039</v>
      </c>
      <c r="B548" t="s">
        <v>3040</v>
      </c>
      <c r="C548" t="s">
        <v>3041</v>
      </c>
      <c r="F548" t="s">
        <v>3042</v>
      </c>
      <c r="L548" t="s">
        <v>24</v>
      </c>
      <c r="M548" t="s">
        <v>25</v>
      </c>
      <c r="O548" t="s">
        <v>26</v>
      </c>
      <c r="P548" t="s">
        <v>3043</v>
      </c>
      <c r="Q548" t="s">
        <v>28</v>
      </c>
      <c r="R548" s="3">
        <v>45033.650555555556</v>
      </c>
      <c r="T548" t="s">
        <v>3044</v>
      </c>
      <c r="U548" t="str">
        <f t="shared" si="32"/>
        <v>["c3a8d866-408e-4042-893e-99710b4db683"]</v>
      </c>
      <c r="V548" t="str">
        <f t="shared" si="33"/>
        <v/>
      </c>
      <c r="W548" t="str">
        <f t="shared" si="34"/>
        <v/>
      </c>
      <c r="X548" t="str">
        <f t="shared" si="35"/>
        <v/>
      </c>
    </row>
    <row r="549" spans="1:24" ht="409.5" x14ac:dyDescent="0.25">
      <c r="A549" t="s">
        <v>3045</v>
      </c>
      <c r="B549" t="s">
        <v>3046</v>
      </c>
      <c r="C549" t="s">
        <v>3047</v>
      </c>
      <c r="F549" s="2" t="s">
        <v>3048</v>
      </c>
      <c r="L549" t="s">
        <v>24</v>
      </c>
      <c r="M549" t="s">
        <v>25</v>
      </c>
      <c r="O549" t="s">
        <v>26</v>
      </c>
      <c r="P549" t="s">
        <v>3049</v>
      </c>
      <c r="Q549" t="s">
        <v>28</v>
      </c>
      <c r="R549" s="3">
        <v>41206.768020833333</v>
      </c>
      <c r="T549" t="s">
        <v>3050</v>
      </c>
      <c r="U549" t="str">
        <f t="shared" si="32"/>
        <v>["d3c0a223-516b-4049-9370-22881a0428d8", "884c0d9f-f790-41c2-a2a5-351b7c434896", "7562f659-398d-46d7-9167-7f9ccaa00263"]</v>
      </c>
      <c r="V549" t="str">
        <f t="shared" si="33"/>
        <v/>
      </c>
      <c r="W549" t="str">
        <f t="shared" si="34"/>
        <v/>
      </c>
      <c r="X549" t="str">
        <f t="shared" si="35"/>
        <v/>
      </c>
    </row>
    <row r="550" spans="1:24" x14ac:dyDescent="0.25">
      <c r="A550" t="s">
        <v>3051</v>
      </c>
      <c r="B550" t="s">
        <v>3052</v>
      </c>
      <c r="C550" t="s">
        <v>3053</v>
      </c>
      <c r="F550" t="s">
        <v>3054</v>
      </c>
      <c r="L550" t="s">
        <v>24</v>
      </c>
      <c r="M550" t="s">
        <v>25</v>
      </c>
      <c r="O550" t="s">
        <v>26</v>
      </c>
      <c r="P550" t="s">
        <v>3055</v>
      </c>
      <c r="Q550" t="s">
        <v>28</v>
      </c>
      <c r="R550" s="3">
        <v>44264.64880787037</v>
      </c>
      <c r="T550" t="s">
        <v>3011</v>
      </c>
      <c r="U550" t="str">
        <f t="shared" si="32"/>
        <v>["4312623f-2cdc-4a59-bea5-877310e6e48d"]</v>
      </c>
      <c r="V550" t="str">
        <f t="shared" si="33"/>
        <v/>
      </c>
      <c r="W550" t="str">
        <f t="shared" si="34"/>
        <v/>
      </c>
      <c r="X550" t="str">
        <f t="shared" si="35"/>
        <v/>
      </c>
    </row>
    <row r="551" spans="1:24" x14ac:dyDescent="0.25">
      <c r="A551" t="s">
        <v>3056</v>
      </c>
      <c r="B551" t="s">
        <v>3057</v>
      </c>
      <c r="C551" t="s">
        <v>3058</v>
      </c>
      <c r="F551" t="s">
        <v>3059</v>
      </c>
      <c r="L551" t="s">
        <v>24</v>
      </c>
      <c r="M551" t="s">
        <v>25</v>
      </c>
      <c r="O551" t="s">
        <v>26</v>
      </c>
      <c r="P551" t="s">
        <v>3060</v>
      </c>
      <c r="Q551" t="s">
        <v>28</v>
      </c>
      <c r="R551" s="3">
        <v>44264.655185185184</v>
      </c>
      <c r="T551" t="s">
        <v>3061</v>
      </c>
      <c r="U551" t="str">
        <f t="shared" si="32"/>
        <v>["ef8e980b-9644-45d8-b0e9-c6aaf0eff0c0", "846448a5-a26e-4297-ac08-ad7040af20f1", "4b71eb3d-7d55-4967-b80d-91a3f220b60c"]</v>
      </c>
      <c r="V551" t="str">
        <f t="shared" si="33"/>
        <v/>
      </c>
      <c r="W551" t="str">
        <f t="shared" si="34"/>
        <v/>
      </c>
      <c r="X551" t="str">
        <f t="shared" si="35"/>
        <v/>
      </c>
    </row>
    <row r="552" spans="1:24" ht="409.5" x14ac:dyDescent="0.25">
      <c r="A552" t="s">
        <v>3062</v>
      </c>
      <c r="B552" t="s">
        <v>3063</v>
      </c>
      <c r="C552" t="s">
        <v>3064</v>
      </c>
      <c r="F552" s="2" t="s">
        <v>3065</v>
      </c>
      <c r="L552" t="s">
        <v>24</v>
      </c>
      <c r="M552" t="s">
        <v>25</v>
      </c>
      <c r="O552" t="s">
        <v>26</v>
      </c>
      <c r="P552" t="s">
        <v>3066</v>
      </c>
      <c r="Q552" t="s">
        <v>28</v>
      </c>
      <c r="R552" s="3">
        <v>44273.529664351852</v>
      </c>
      <c r="T552" t="s">
        <v>3067</v>
      </c>
      <c r="U552" t="str">
        <f t="shared" si="32"/>
        <v>["9c203fec-dc0d-412c-a7a3-7fd77d0346f1", "d3c0a223-516b-4049-9370-22881a0428d8"]</v>
      </c>
      <c r="V552" t="str">
        <f t="shared" si="33"/>
        <v/>
      </c>
      <c r="W552" t="str">
        <f t="shared" si="34"/>
        <v/>
      </c>
      <c r="X552" t="str">
        <f t="shared" si="35"/>
        <v/>
      </c>
    </row>
    <row r="553" spans="1:24" ht="255" x14ac:dyDescent="0.25">
      <c r="A553" t="s">
        <v>3068</v>
      </c>
      <c r="B553" t="s">
        <v>3069</v>
      </c>
      <c r="C553" t="s">
        <v>3070</v>
      </c>
      <c r="F553" s="2" t="s">
        <v>3071</v>
      </c>
      <c r="L553" t="s">
        <v>24</v>
      </c>
      <c r="M553" t="s">
        <v>25</v>
      </c>
      <c r="O553" t="s">
        <v>26</v>
      </c>
      <c r="P553" t="s">
        <v>3072</v>
      </c>
      <c r="Q553" t="s">
        <v>28</v>
      </c>
      <c r="R553" s="3">
        <v>44564.44840277778</v>
      </c>
      <c r="T553" t="s">
        <v>3073</v>
      </c>
      <c r="U553" t="str">
        <f t="shared" si="32"/>
        <v>["61cde866-312e-4624-bd7c-e6820c609f2d", "d230c9e8-745a-4da3-a3b4-86842591d9f0", "4b71eb3d-7d55-4967-b80d-91a3f220b60c", "276ffd1e-efdd-42e2-b6c9-04fb5fa2b7ea", "f33dc893-bd57-4e5c-a3b0-e32925f4f6b1"]</v>
      </c>
      <c r="V553" t="str">
        <f t="shared" si="33"/>
        <v/>
      </c>
      <c r="W553" t="str">
        <f t="shared" si="34"/>
        <v/>
      </c>
      <c r="X553" t="str">
        <f t="shared" si="35"/>
        <v/>
      </c>
    </row>
    <row r="554" spans="1:24" ht="409.5" x14ac:dyDescent="0.25">
      <c r="A554" t="s">
        <v>3074</v>
      </c>
      <c r="B554" t="s">
        <v>3075</v>
      </c>
      <c r="C554" t="s">
        <v>3076</v>
      </c>
      <c r="F554" s="2" t="s">
        <v>3077</v>
      </c>
      <c r="L554" t="s">
        <v>24</v>
      </c>
      <c r="M554" t="s">
        <v>25</v>
      </c>
      <c r="O554" t="s">
        <v>26</v>
      </c>
      <c r="P554" t="s">
        <v>3078</v>
      </c>
      <c r="Q554" t="s">
        <v>28</v>
      </c>
      <c r="R554" s="3">
        <v>41190.543773148151</v>
      </c>
      <c r="T554" t="s">
        <v>3079</v>
      </c>
      <c r="U554" t="str">
        <f t="shared" si="32"/>
        <v>["d3c0a223-516b-4049-9370-22881a0428d8", "7562f659-398d-46d7-9167-7f9ccaa00263"]</v>
      </c>
      <c r="V554" t="str">
        <f t="shared" si="33"/>
        <v/>
      </c>
      <c r="W554" t="str">
        <f t="shared" si="34"/>
        <v/>
      </c>
      <c r="X554" t="str">
        <f t="shared" si="35"/>
        <v/>
      </c>
    </row>
    <row r="555" spans="1:24" ht="409.5" x14ac:dyDescent="0.25">
      <c r="A555" t="s">
        <v>3080</v>
      </c>
      <c r="B555" t="s">
        <v>3081</v>
      </c>
      <c r="C555" t="s">
        <v>3082</v>
      </c>
      <c r="F555" s="2" t="s">
        <v>3083</v>
      </c>
      <c r="L555" t="s">
        <v>24</v>
      </c>
      <c r="M555" t="s">
        <v>25</v>
      </c>
      <c r="O555" t="s">
        <v>26</v>
      </c>
      <c r="P555" t="s">
        <v>3084</v>
      </c>
      <c r="Q555" t="s">
        <v>28</v>
      </c>
      <c r="R555" s="3">
        <v>44264.640104166669</v>
      </c>
      <c r="T555" t="s">
        <v>3085</v>
      </c>
      <c r="U555" t="str">
        <f t="shared" si="32"/>
        <v>["ef8e980b-9644-45d8-b0e9-c6aaf0eff0c0", "4b71eb3d-7d55-4967-b80d-91a3f220b60c", "846448a5-a26e-4297-ac08-ad7040af20f1"]</v>
      </c>
      <c r="V555" t="str">
        <f t="shared" si="33"/>
        <v/>
      </c>
      <c r="W555" t="str">
        <f t="shared" si="34"/>
        <v/>
      </c>
      <c r="X555" t="str">
        <f t="shared" si="35"/>
        <v/>
      </c>
    </row>
    <row r="556" spans="1:24" ht="409.5" x14ac:dyDescent="0.25">
      <c r="A556" t="s">
        <v>3086</v>
      </c>
      <c r="B556" t="s">
        <v>3087</v>
      </c>
      <c r="C556" t="s">
        <v>3088</v>
      </c>
      <c r="F556" s="2" t="s">
        <v>3089</v>
      </c>
      <c r="L556" t="s">
        <v>24</v>
      </c>
      <c r="M556" t="s">
        <v>25</v>
      </c>
      <c r="O556" t="s">
        <v>26</v>
      </c>
      <c r="P556" t="s">
        <v>3090</v>
      </c>
      <c r="Q556" t="s">
        <v>28</v>
      </c>
      <c r="R556" s="3">
        <v>44288.639270833337</v>
      </c>
      <c r="T556" t="s">
        <v>3091</v>
      </c>
      <c r="U556" t="str">
        <f t="shared" si="32"/>
        <v>["d9ae1245-158e-4d79-86a4-2d9b3defbedc", "67d4a45f-2031-4dd5-a03d-92f64be7147c", "523ba2e4-8c55-4dde-8acf-39e3621811b0", "336bbdae-a29d-47c5-8c0d-f51affffd44f"]</v>
      </c>
      <c r="V556" t="str">
        <f t="shared" si="33"/>
        <v/>
      </c>
      <c r="W556" t="str">
        <f t="shared" si="34"/>
        <v/>
      </c>
      <c r="X556" t="str">
        <f t="shared" si="35"/>
        <v/>
      </c>
    </row>
    <row r="557" spans="1:24" x14ac:dyDescent="0.25">
      <c r="A557" t="s">
        <v>3092</v>
      </c>
      <c r="B557" t="s">
        <v>3093</v>
      </c>
      <c r="C557" t="s">
        <v>3094</v>
      </c>
      <c r="F557" t="s">
        <v>3095</v>
      </c>
      <c r="L557" t="s">
        <v>24</v>
      </c>
      <c r="M557" t="s">
        <v>25</v>
      </c>
      <c r="O557" t="s">
        <v>26</v>
      </c>
      <c r="P557" t="s">
        <v>3096</v>
      </c>
      <c r="Q557" t="s">
        <v>28</v>
      </c>
      <c r="R557" s="3">
        <v>44312.6481712963</v>
      </c>
      <c r="T557" t="s">
        <v>3011</v>
      </c>
      <c r="U557" t="str">
        <f t="shared" si="32"/>
        <v>["4312623f-2cdc-4a59-bea5-877310e6e48d"]</v>
      </c>
      <c r="V557" t="str">
        <f t="shared" si="33"/>
        <v/>
      </c>
      <c r="W557" t="str">
        <f t="shared" si="34"/>
        <v/>
      </c>
      <c r="X557" t="str">
        <f t="shared" si="35"/>
        <v/>
      </c>
    </row>
    <row r="558" spans="1:24" ht="409.5" x14ac:dyDescent="0.25">
      <c r="A558" t="s">
        <v>3097</v>
      </c>
      <c r="B558" t="s">
        <v>3098</v>
      </c>
      <c r="C558" t="s">
        <v>3099</v>
      </c>
      <c r="F558" s="2" t="s">
        <v>3100</v>
      </c>
      <c r="L558" t="s">
        <v>24</v>
      </c>
      <c r="M558" t="s">
        <v>25</v>
      </c>
      <c r="O558" t="s">
        <v>26</v>
      </c>
      <c r="P558" t="s">
        <v>3101</v>
      </c>
      <c r="Q558" t="s">
        <v>28</v>
      </c>
      <c r="R558" s="3">
        <v>44264.680578703701</v>
      </c>
      <c r="T558" t="s">
        <v>3102</v>
      </c>
      <c r="U558" t="str">
        <f t="shared" si="32"/>
        <v>["bec16f39-2f2f-375a-aa6c-f122d15245d7", "49ca9c40-10d2-41fa-a55e-7b516360ad94"]</v>
      </c>
      <c r="V558" t="str">
        <f t="shared" si="33"/>
        <v/>
      </c>
      <c r="W558" t="str">
        <f t="shared" si="34"/>
        <v/>
      </c>
      <c r="X558" t="str">
        <f t="shared" si="35"/>
        <v/>
      </c>
    </row>
    <row r="559" spans="1:24" ht="409.5" x14ac:dyDescent="0.25">
      <c r="A559" t="s">
        <v>3103</v>
      </c>
      <c r="B559" t="s">
        <v>3104</v>
      </c>
      <c r="C559" t="s">
        <v>3105</v>
      </c>
      <c r="F559" s="2" t="s">
        <v>3106</v>
      </c>
      <c r="L559" t="s">
        <v>24</v>
      </c>
      <c r="M559" t="s">
        <v>25</v>
      </c>
      <c r="O559" t="s">
        <v>26</v>
      </c>
      <c r="P559" t="s">
        <v>3107</v>
      </c>
      <c r="Q559" t="s">
        <v>28</v>
      </c>
      <c r="R559" s="3">
        <v>44417.688611111109</v>
      </c>
      <c r="T559" t="s">
        <v>3011</v>
      </c>
      <c r="U559" t="str">
        <f t="shared" si="32"/>
        <v>["4312623f-2cdc-4a59-bea5-877310e6e48d"]</v>
      </c>
      <c r="V559" t="str">
        <f t="shared" si="33"/>
        <v/>
      </c>
      <c r="W559" t="str">
        <f t="shared" si="34"/>
        <v/>
      </c>
      <c r="X559" t="str">
        <f t="shared" si="35"/>
        <v/>
      </c>
    </row>
    <row r="560" spans="1:24" x14ac:dyDescent="0.25">
      <c r="A560" t="s">
        <v>3108</v>
      </c>
      <c r="B560" t="s">
        <v>3109</v>
      </c>
      <c r="C560" t="s">
        <v>3110</v>
      </c>
      <c r="F560" t="s">
        <v>3111</v>
      </c>
      <c r="L560" t="s">
        <v>24</v>
      </c>
      <c r="M560" t="s">
        <v>25</v>
      </c>
      <c r="O560" t="s">
        <v>26</v>
      </c>
      <c r="P560" t="s">
        <v>3112</v>
      </c>
      <c r="Q560" t="s">
        <v>28</v>
      </c>
      <c r="R560" s="3">
        <v>44351.553518518522</v>
      </c>
      <c r="T560" t="s">
        <v>3113</v>
      </c>
      <c r="U560" t="str">
        <f t="shared" si="32"/>
        <v>["9100472e-bf26-49e2-90df-64c436521157"]</v>
      </c>
      <c r="V560" t="str">
        <f t="shared" si="33"/>
        <v/>
      </c>
      <c r="W560" t="str">
        <f t="shared" si="34"/>
        <v/>
      </c>
      <c r="X560" t="str">
        <f t="shared" si="35"/>
        <v/>
      </c>
    </row>
    <row r="561" spans="1:24" x14ac:dyDescent="0.25">
      <c r="A561" t="s">
        <v>3114</v>
      </c>
      <c r="B561" t="s">
        <v>3115</v>
      </c>
      <c r="C561" t="s">
        <v>3116</v>
      </c>
      <c r="F561" t="s">
        <v>3117</v>
      </c>
      <c r="L561" t="s">
        <v>24</v>
      </c>
      <c r="M561" t="s">
        <v>25</v>
      </c>
      <c r="O561" t="s">
        <v>26</v>
      </c>
      <c r="P561" t="s">
        <v>3118</v>
      </c>
      <c r="Q561" t="s">
        <v>28</v>
      </c>
      <c r="R561" s="3">
        <v>44417.707719907405</v>
      </c>
      <c r="T561" t="s">
        <v>433</v>
      </c>
      <c r="U561" t="str">
        <f t="shared" si="32"/>
        <v>["2c54f4d6-5712-4e5a-a025-b7f7a396c39b"]</v>
      </c>
      <c r="V561" t="str">
        <f t="shared" si="33"/>
        <v/>
      </c>
      <c r="W561" t="str">
        <f t="shared" si="34"/>
        <v/>
      </c>
      <c r="X561" t="str">
        <f t="shared" si="35"/>
        <v/>
      </c>
    </row>
    <row r="562" spans="1:24" x14ac:dyDescent="0.25">
      <c r="A562" t="s">
        <v>3119</v>
      </c>
      <c r="B562" t="s">
        <v>3120</v>
      </c>
      <c r="C562" t="s">
        <v>3121</v>
      </c>
      <c r="F562" t="s">
        <v>3122</v>
      </c>
      <c r="L562" t="s">
        <v>24</v>
      </c>
      <c r="M562" t="s">
        <v>25</v>
      </c>
      <c r="O562" t="s">
        <v>26</v>
      </c>
      <c r="P562" t="s">
        <v>3123</v>
      </c>
      <c r="Q562" t="s">
        <v>28</v>
      </c>
      <c r="R562" s="3">
        <v>44356.683055555557</v>
      </c>
      <c r="T562" t="s">
        <v>1150</v>
      </c>
      <c r="U562" t="str">
        <f t="shared" si="32"/>
        <v>["1f4a62eb-6f1a-4bfe-b7cd-e6dede0be00a"]</v>
      </c>
      <c r="V562" t="str">
        <f t="shared" si="33"/>
        <v/>
      </c>
      <c r="W562" t="str">
        <f t="shared" si="34"/>
        <v/>
      </c>
      <c r="X562" t="str">
        <f t="shared" si="35"/>
        <v/>
      </c>
    </row>
    <row r="563" spans="1:24" x14ac:dyDescent="0.25">
      <c r="A563" t="s">
        <v>3124</v>
      </c>
      <c r="B563" t="s">
        <v>3125</v>
      </c>
      <c r="C563" t="s">
        <v>3126</v>
      </c>
      <c r="F563" t="s">
        <v>3127</v>
      </c>
      <c r="L563" t="s">
        <v>24</v>
      </c>
      <c r="M563" t="s">
        <v>25</v>
      </c>
      <c r="O563" t="s">
        <v>26</v>
      </c>
      <c r="P563" t="s">
        <v>3128</v>
      </c>
      <c r="Q563" t="s">
        <v>28</v>
      </c>
      <c r="R563" s="3">
        <v>44623.541342592594</v>
      </c>
      <c r="T563" t="s">
        <v>433</v>
      </c>
      <c r="U563" t="str">
        <f t="shared" si="32"/>
        <v>["2c54f4d6-5712-4e5a-a025-b7f7a396c39b"]</v>
      </c>
      <c r="V563" t="str">
        <f t="shared" si="33"/>
        <v/>
      </c>
      <c r="W563" t="str">
        <f t="shared" si="34"/>
        <v/>
      </c>
      <c r="X563" t="str">
        <f t="shared" si="35"/>
        <v/>
      </c>
    </row>
    <row r="564" spans="1:24" x14ac:dyDescent="0.25">
      <c r="A564" t="s">
        <v>3129</v>
      </c>
      <c r="B564" t="s">
        <v>3130</v>
      </c>
      <c r="C564" t="s">
        <v>3131</v>
      </c>
      <c r="F564" t="s">
        <v>3132</v>
      </c>
      <c r="L564" t="s">
        <v>24</v>
      </c>
      <c r="M564" t="s">
        <v>25</v>
      </c>
      <c r="O564" t="s">
        <v>26</v>
      </c>
      <c r="P564" t="s">
        <v>3133</v>
      </c>
      <c r="Q564" t="s">
        <v>28</v>
      </c>
      <c r="R564" s="3">
        <v>44341.640231481484</v>
      </c>
      <c r="T564" t="s">
        <v>3134</v>
      </c>
      <c r="U564" t="str">
        <f t="shared" si="32"/>
        <v>["ac4c2ac5-6be4-4471-bbf4-f09228f5db04", "ac478f32-3e3b-4c04-bc7d-aa75069b6367", "9886476f-9c2f-46c8-bf37-06870d1e7338", "371f7f97-e7ad-4335-a4f9-0d1ca4daa1ec", "4f5a37d7-6055-40b6-9cdd-de55a9ab5248", "88bf0348-80c8-4b62-a3d1-45a0cedb802d", "5ea10ba1-3577-407a-893b-175247a9bf4a", "af63a0a0-0f6b-4534-92d3-63902fb91b03", "2ee6b8bf-6292-413c-bb8b-bd22dbb2ad4b", "da8fc842-d9cd-4a8b-9dcf-642ebdbc9049", "98efb700-353d-49fb-bdca-0f7081b36140", "c5e36bed-6c29-41bf-89e1-79ded8aae72d", "43839325-6125-4d5e-9fd7-d3e6ed6a2401", "b411c576-e81b-490b-9c5b-8ef36f4f542d", "d025f670-5719-417e-8750-07b9178e7d92", "e57d4a00-fc78-4e48-a110-ae3951b5c031", "cef007c8-5836-47a4-b45a-60eb587db17e", "eec2fb76-3b7b-4f64-a8d1-2f9778a57adb", "dfa46500-3e09-440b-81c5-77b77ca4f40a", "a766b57e-aefd-41c7-957f-2de3c233d5b8"]</v>
      </c>
      <c r="V564" t="str">
        <f t="shared" si="33"/>
        <v/>
      </c>
      <c r="W564" t="str">
        <f t="shared" si="34"/>
        <v/>
      </c>
      <c r="X564" t="str">
        <f t="shared" si="35"/>
        <v/>
      </c>
    </row>
    <row r="565" spans="1:24" ht="409.5" x14ac:dyDescent="0.25">
      <c r="A565" t="s">
        <v>3135</v>
      </c>
      <c r="B565" t="s">
        <v>3136</v>
      </c>
      <c r="C565" t="s">
        <v>3136</v>
      </c>
      <c r="F565" s="2" t="s">
        <v>3137</v>
      </c>
      <c r="L565" t="s">
        <v>24</v>
      </c>
      <c r="M565" t="s">
        <v>25</v>
      </c>
      <c r="O565" t="s">
        <v>26</v>
      </c>
      <c r="P565" t="s">
        <v>3138</v>
      </c>
      <c r="Q565" t="s">
        <v>28</v>
      </c>
      <c r="R565" s="3">
        <v>44426.624108796299</v>
      </c>
      <c r="T565" t="s">
        <v>433</v>
      </c>
      <c r="U565" t="str">
        <f t="shared" si="32"/>
        <v>["2c54f4d6-5712-4e5a-a025-b7f7a396c39b"]</v>
      </c>
      <c r="V565" t="str">
        <f t="shared" si="33"/>
        <v/>
      </c>
      <c r="W565" t="str">
        <f t="shared" si="34"/>
        <v/>
      </c>
      <c r="X565" t="str">
        <f t="shared" si="35"/>
        <v/>
      </c>
    </row>
    <row r="566" spans="1:24" x14ac:dyDescent="0.25">
      <c r="A566" t="s">
        <v>3139</v>
      </c>
      <c r="B566" t="s">
        <v>3140</v>
      </c>
      <c r="C566" t="s">
        <v>3141</v>
      </c>
      <c r="F566" t="s">
        <v>3142</v>
      </c>
      <c r="L566" t="s">
        <v>24</v>
      </c>
      <c r="M566" t="s">
        <v>25</v>
      </c>
      <c r="O566" t="s">
        <v>26</v>
      </c>
      <c r="P566" t="s">
        <v>3143</v>
      </c>
      <c r="Q566" t="s">
        <v>28</v>
      </c>
      <c r="R566" s="3">
        <v>44273.536631944444</v>
      </c>
      <c r="T566" t="s">
        <v>3144</v>
      </c>
      <c r="U566" t="str">
        <f t="shared" si="32"/>
        <v>["4b71eb3d-7d55-4967-b80d-91a3f220b60c", "4312623f-2cdc-4a59-bea5-877310e6e48d", "846448a5-a26e-4297-ac08-ad7040af20f1"]</v>
      </c>
      <c r="V566" t="str">
        <f t="shared" si="33"/>
        <v/>
      </c>
      <c r="W566" t="str">
        <f t="shared" si="34"/>
        <v/>
      </c>
      <c r="X566" t="str">
        <f t="shared" si="35"/>
        <v/>
      </c>
    </row>
    <row r="567" spans="1:24" ht="409.5" x14ac:dyDescent="0.25">
      <c r="A567" t="s">
        <v>3145</v>
      </c>
      <c r="B567" t="s">
        <v>3146</v>
      </c>
      <c r="C567" t="s">
        <v>3147</v>
      </c>
      <c r="F567" s="2" t="s">
        <v>3148</v>
      </c>
      <c r="L567" t="s">
        <v>24</v>
      </c>
      <c r="M567" t="s">
        <v>25</v>
      </c>
      <c r="O567" t="s">
        <v>26</v>
      </c>
      <c r="P567" t="s">
        <v>3149</v>
      </c>
      <c r="Q567" t="s">
        <v>28</v>
      </c>
      <c r="R567" s="3">
        <v>44279.433530092596</v>
      </c>
      <c r="T567" t="s">
        <v>3150</v>
      </c>
      <c r="U567" t="str">
        <f t="shared" si="32"/>
        <v>["a73befc7-575f-48cb-8eb9-b05172a8c9e3", "254757be-69ef-4a6c-a4c1-1432815d7522"]</v>
      </c>
      <c r="V567" t="str">
        <f t="shared" si="33"/>
        <v/>
      </c>
      <c r="W567" t="str">
        <f t="shared" si="34"/>
        <v/>
      </c>
      <c r="X567" t="str">
        <f t="shared" si="35"/>
        <v/>
      </c>
    </row>
    <row r="568" spans="1:24" x14ac:dyDescent="0.25">
      <c r="A568" t="s">
        <v>3151</v>
      </c>
      <c r="B568" t="s">
        <v>3152</v>
      </c>
      <c r="C568" t="s">
        <v>3153</v>
      </c>
      <c r="F568" t="s">
        <v>3154</v>
      </c>
      <c r="L568" t="s">
        <v>24</v>
      </c>
      <c r="M568" t="s">
        <v>25</v>
      </c>
      <c r="O568" t="s">
        <v>26</v>
      </c>
      <c r="P568" t="s">
        <v>3155</v>
      </c>
      <c r="Q568" t="s">
        <v>28</v>
      </c>
      <c r="R568" s="3">
        <v>44351.559155092589</v>
      </c>
      <c r="T568" t="s">
        <v>3156</v>
      </c>
      <c r="U568" t="str">
        <f t="shared" si="32"/>
        <v>["dfa2ff35-d2c4-4196-9989-a1bdbeabbfed", "49f0b668-2a32-475c-86f3-4068cf642519", "e34d45e3-070b-44e7-9a65-7c268fa79fc7", "16bd245e-8f6c-4696-95f3-17be8fe340cb", "fc27bab4-34be-4562-8f77-67eac49e32c5", "53b70911-67ee-459b-a573-130272275a91", "f35b2a10-4d8b-40f3-9eb7-15d84c2f7f58", "a7bfaed4-c1df-4448-894b-8effdfaed52d", "c6bbfc6f-6700-40eb-9537-ab182075c8f8"]</v>
      </c>
      <c r="V568" t="str">
        <f t="shared" si="33"/>
        <v/>
      </c>
      <c r="W568" t="str">
        <f t="shared" si="34"/>
        <v/>
      </c>
      <c r="X568" t="str">
        <f t="shared" si="35"/>
        <v/>
      </c>
    </row>
    <row r="569" spans="1:24" ht="409.5" x14ac:dyDescent="0.25">
      <c r="A569" t="s">
        <v>3157</v>
      </c>
      <c r="B569" t="s">
        <v>3158</v>
      </c>
      <c r="C569" t="s">
        <v>3159</v>
      </c>
      <c r="F569" s="2" t="s">
        <v>3160</v>
      </c>
      <c r="L569" t="s">
        <v>24</v>
      </c>
      <c r="M569" t="s">
        <v>25</v>
      </c>
      <c r="O569" t="s">
        <v>26</v>
      </c>
      <c r="P569" t="s">
        <v>3161</v>
      </c>
      <c r="Q569" t="s">
        <v>28</v>
      </c>
      <c r="R569" s="3">
        <v>44572.531747685185</v>
      </c>
      <c r="T569" t="s">
        <v>3162</v>
      </c>
      <c r="U569" t="str">
        <f t="shared" si="32"/>
        <v>["de139cf2-a8d7-40fc-8a7c-da12e9944d48"]</v>
      </c>
      <c r="V569" t="str">
        <f t="shared" si="33"/>
        <v/>
      </c>
      <c r="W569" t="str">
        <f t="shared" si="34"/>
        <v/>
      </c>
      <c r="X569" t="str">
        <f t="shared" si="35"/>
        <v/>
      </c>
    </row>
    <row r="570" spans="1:24" x14ac:dyDescent="0.25">
      <c r="A570" t="s">
        <v>3163</v>
      </c>
      <c r="B570" t="s">
        <v>3164</v>
      </c>
      <c r="C570" t="s">
        <v>3165</v>
      </c>
      <c r="F570" t="s">
        <v>3166</v>
      </c>
      <c r="L570" t="s">
        <v>24</v>
      </c>
      <c r="M570" t="s">
        <v>25</v>
      </c>
      <c r="O570" t="s">
        <v>26</v>
      </c>
      <c r="P570" t="s">
        <v>3167</v>
      </c>
      <c r="Q570" t="s">
        <v>28</v>
      </c>
      <c r="R570" s="3">
        <v>44963.6408912037</v>
      </c>
      <c r="T570" t="s">
        <v>3168</v>
      </c>
      <c r="U570" t="str">
        <f t="shared" si="32"/>
        <v>["8abc73bb-63b7-44c0-a25d-424ce38e5626", "a6de427c-9d40-4e02-bfd1-9e372feb1de9", "9ca7f012-45c3-47f8-8648-e35e518583dd", "3cfeefdc-d290-4d84-8abe-c7f1b042f418", "58e0db32-8633-48d2-8d6c-0272ba2242ff", "ba564a55-f352-4c80-8329-c1856622383f"]</v>
      </c>
      <c r="V570" t="str">
        <f t="shared" si="33"/>
        <v/>
      </c>
      <c r="W570" t="str">
        <f t="shared" si="34"/>
        <v/>
      </c>
      <c r="X570" t="str">
        <f t="shared" si="35"/>
        <v/>
      </c>
    </row>
    <row r="571" spans="1:24" x14ac:dyDescent="0.25">
      <c r="A571" t="s">
        <v>3169</v>
      </c>
      <c r="B571" t="s">
        <v>3170</v>
      </c>
      <c r="C571" t="s">
        <v>3171</v>
      </c>
      <c r="F571" t="s">
        <v>3172</v>
      </c>
      <c r="L571" t="s">
        <v>24</v>
      </c>
      <c r="M571" t="s">
        <v>25</v>
      </c>
      <c r="O571" t="s">
        <v>26</v>
      </c>
      <c r="P571" t="s">
        <v>3173</v>
      </c>
      <c r="Q571" t="s">
        <v>28</v>
      </c>
      <c r="R571" s="3">
        <v>45005.457754629628</v>
      </c>
      <c r="T571" t="s">
        <v>3174</v>
      </c>
      <c r="U571" t="str">
        <f t="shared" si="32"/>
        <v>["8d482810-26da-4bbc-8599-6b1fd1ab8743", "7cbcdfa7-b7fd-4641-91c9-a6d67873b6a7", "162398d4-b2ea-4674-83d4-2c1d851a521a"]</v>
      </c>
      <c r="V571" t="str">
        <f t="shared" si="33"/>
        <v/>
      </c>
      <c r="W571" t="str">
        <f t="shared" si="34"/>
        <v/>
      </c>
      <c r="X571" t="str">
        <f t="shared" si="35"/>
        <v/>
      </c>
    </row>
    <row r="572" spans="1:24" x14ac:dyDescent="0.25">
      <c r="A572" t="s">
        <v>3175</v>
      </c>
      <c r="B572" t="s">
        <v>3176</v>
      </c>
      <c r="C572" t="s">
        <v>3177</v>
      </c>
      <c r="F572" t="s">
        <v>3178</v>
      </c>
      <c r="L572" t="s">
        <v>24</v>
      </c>
      <c r="M572" t="s">
        <v>25</v>
      </c>
      <c r="O572" t="s">
        <v>26</v>
      </c>
      <c r="P572" t="s">
        <v>3179</v>
      </c>
      <c r="Q572" t="s">
        <v>28</v>
      </c>
      <c r="R572" s="3">
        <v>44288.633032407408</v>
      </c>
      <c r="T572" t="s">
        <v>3180</v>
      </c>
      <c r="U572" t="str">
        <f t="shared" si="32"/>
        <v>["ef8e980b-9644-45d8-b0e9-c6aaf0eff0c0", "846448a5-a26e-4297-ac08-ad7040af20f1"]</v>
      </c>
      <c r="V572" t="str">
        <f t="shared" si="33"/>
        <v/>
      </c>
      <c r="W572" t="str">
        <f t="shared" si="34"/>
        <v/>
      </c>
      <c r="X572" t="str">
        <f t="shared" si="35"/>
        <v/>
      </c>
    </row>
    <row r="573" spans="1:24" ht="409.5" x14ac:dyDescent="0.25">
      <c r="A573" t="s">
        <v>3181</v>
      </c>
      <c r="B573" t="s">
        <v>3182</v>
      </c>
      <c r="C573" t="s">
        <v>3183</v>
      </c>
      <c r="F573" s="2" t="s">
        <v>3184</v>
      </c>
      <c r="L573" t="s">
        <v>24</v>
      </c>
      <c r="M573" t="s">
        <v>25</v>
      </c>
      <c r="O573" t="s">
        <v>26</v>
      </c>
      <c r="P573" t="s">
        <v>3185</v>
      </c>
      <c r="Q573" t="s">
        <v>28</v>
      </c>
      <c r="R573" s="3">
        <v>41190.538460648146</v>
      </c>
      <c r="T573" t="s">
        <v>3186</v>
      </c>
      <c r="U573" t="str">
        <f t="shared" si="32"/>
        <v>["d3c0a223-516b-4049-9370-22881a0428d8"]</v>
      </c>
      <c r="V573" t="str">
        <f t="shared" si="33"/>
        <v/>
      </c>
      <c r="W573" t="str">
        <f t="shared" si="34"/>
        <v/>
      </c>
      <c r="X573" t="str">
        <f t="shared" si="35"/>
        <v/>
      </c>
    </row>
    <row r="574" spans="1:24" ht="409.5" x14ac:dyDescent="0.25">
      <c r="A574" t="s">
        <v>3187</v>
      </c>
      <c r="B574" t="s">
        <v>3188</v>
      </c>
      <c r="C574" t="s">
        <v>3189</v>
      </c>
      <c r="F574" s="2" t="s">
        <v>3190</v>
      </c>
      <c r="L574" t="s">
        <v>24</v>
      </c>
      <c r="M574" t="s">
        <v>25</v>
      </c>
      <c r="O574" t="s">
        <v>26</v>
      </c>
      <c r="P574" t="s">
        <v>3191</v>
      </c>
      <c r="Q574" t="s">
        <v>28</v>
      </c>
      <c r="R574" s="3">
        <v>41190.528333333335</v>
      </c>
      <c r="T574" t="s">
        <v>135</v>
      </c>
      <c r="U574" t="str">
        <f t="shared" si="32"/>
        <v>["332be1f6-5791-43ae-9e37-90cc48e75d24"]</v>
      </c>
      <c r="V574" t="str">
        <f t="shared" si="33"/>
        <v/>
      </c>
      <c r="W574" t="str">
        <f t="shared" si="34"/>
        <v/>
      </c>
      <c r="X574" t="str">
        <f t="shared" si="35"/>
        <v/>
      </c>
    </row>
    <row r="575" spans="1:24" ht="409.5" x14ac:dyDescent="0.25">
      <c r="A575" t="s">
        <v>3192</v>
      </c>
      <c r="B575" t="s">
        <v>3193</v>
      </c>
      <c r="C575" t="s">
        <v>3194</v>
      </c>
      <c r="F575" s="2" t="s">
        <v>3195</v>
      </c>
      <c r="L575" t="s">
        <v>24</v>
      </c>
      <c r="M575" t="s">
        <v>25</v>
      </c>
      <c r="O575" t="s">
        <v>26</v>
      </c>
      <c r="P575" t="s">
        <v>3196</v>
      </c>
      <c r="Q575" t="s">
        <v>28</v>
      </c>
      <c r="R575" s="3">
        <v>41190.549814814818</v>
      </c>
      <c r="T575" t="s">
        <v>3197</v>
      </c>
      <c r="U575" t="str">
        <f t="shared" si="32"/>
        <v>["5d642d09-8e03-4200-a79b-2a397a6d5d51"]</v>
      </c>
      <c r="V575" t="str">
        <f t="shared" si="33"/>
        <v/>
      </c>
      <c r="W575" t="str">
        <f t="shared" si="34"/>
        <v/>
      </c>
      <c r="X575" t="str">
        <f t="shared" si="35"/>
        <v/>
      </c>
    </row>
    <row r="576" spans="1:24" ht="409.5" x14ac:dyDescent="0.25">
      <c r="A576" t="s">
        <v>3198</v>
      </c>
      <c r="B576" t="s">
        <v>3199</v>
      </c>
      <c r="C576" t="s">
        <v>3200</v>
      </c>
      <c r="F576" s="2" t="s">
        <v>3201</v>
      </c>
      <c r="L576" t="s">
        <v>24</v>
      </c>
      <c r="M576" t="s">
        <v>25</v>
      </c>
      <c r="O576" t="s">
        <v>26</v>
      </c>
      <c r="P576" t="s">
        <v>3202</v>
      </c>
      <c r="Q576" t="s">
        <v>28</v>
      </c>
      <c r="R576" s="3">
        <v>41190.563298611109</v>
      </c>
      <c r="T576" t="s">
        <v>311</v>
      </c>
      <c r="U576" t="str">
        <f t="shared" si="32"/>
        <v>["b01585af-110f-4f87-9bf1-06805605926c"]</v>
      </c>
      <c r="V576" t="str">
        <f t="shared" si="33"/>
        <v/>
      </c>
      <c r="W576" t="str">
        <f t="shared" si="34"/>
        <v/>
      </c>
      <c r="X576" t="str">
        <f t="shared" si="35"/>
        <v/>
      </c>
    </row>
    <row r="577" spans="1:24" ht="409.5" x14ac:dyDescent="0.25">
      <c r="A577" t="s">
        <v>3203</v>
      </c>
      <c r="B577" t="s">
        <v>3204</v>
      </c>
      <c r="C577" t="s">
        <v>3205</v>
      </c>
      <c r="F577" s="2" t="s">
        <v>3206</v>
      </c>
      <c r="L577" t="s">
        <v>24</v>
      </c>
      <c r="M577" t="s">
        <v>25</v>
      </c>
      <c r="O577" t="s">
        <v>26</v>
      </c>
      <c r="P577" t="s">
        <v>3207</v>
      </c>
      <c r="Q577" t="s">
        <v>28</v>
      </c>
      <c r="R577" s="3">
        <v>44299.599340277775</v>
      </c>
      <c r="T577" t="s">
        <v>3011</v>
      </c>
      <c r="U577" t="str">
        <f t="shared" si="32"/>
        <v>["4312623f-2cdc-4a59-bea5-877310e6e48d"]</v>
      </c>
      <c r="V577" t="str">
        <f t="shared" si="33"/>
        <v/>
      </c>
      <c r="W577" t="str">
        <f t="shared" si="34"/>
        <v/>
      </c>
      <c r="X577" t="str">
        <f t="shared" si="35"/>
        <v/>
      </c>
    </row>
    <row r="578" spans="1:24" x14ac:dyDescent="0.25">
      <c r="A578" t="s">
        <v>3208</v>
      </c>
      <c r="B578" t="s">
        <v>3209</v>
      </c>
      <c r="C578" t="s">
        <v>3210</v>
      </c>
      <c r="F578" t="s">
        <v>3211</v>
      </c>
      <c r="L578" t="s">
        <v>24</v>
      </c>
      <c r="M578" t="s">
        <v>25</v>
      </c>
      <c r="O578" t="s">
        <v>26</v>
      </c>
      <c r="P578" t="s">
        <v>3212</v>
      </c>
      <c r="Q578" t="s">
        <v>28</v>
      </c>
      <c r="R578" s="3">
        <v>44985.428865740738</v>
      </c>
      <c r="T578" t="s">
        <v>3213</v>
      </c>
      <c r="U578" t="str">
        <f t="shared" si="32"/>
        <v>["c307f89d-b01a-4da2-9f9e-cf3fd2dd651e"]</v>
      </c>
      <c r="V578" t="str">
        <f t="shared" si="33"/>
        <v/>
      </c>
      <c r="W578" t="str">
        <f t="shared" si="34"/>
        <v/>
      </c>
      <c r="X578" t="str">
        <f t="shared" si="35"/>
        <v/>
      </c>
    </row>
    <row r="579" spans="1:24" x14ac:dyDescent="0.25">
      <c r="A579" t="s">
        <v>3214</v>
      </c>
      <c r="B579" t="s">
        <v>3215</v>
      </c>
      <c r="C579" t="s">
        <v>3216</v>
      </c>
      <c r="F579" t="s">
        <v>3217</v>
      </c>
      <c r="L579" t="s">
        <v>24</v>
      </c>
      <c r="M579" t="s">
        <v>25</v>
      </c>
      <c r="O579" t="s">
        <v>26</v>
      </c>
      <c r="P579" t="s">
        <v>3218</v>
      </c>
      <c r="Q579" t="s">
        <v>28</v>
      </c>
      <c r="R579" s="3">
        <v>45181.567731481482</v>
      </c>
      <c r="T579" t="s">
        <v>3219</v>
      </c>
      <c r="U579" t="str">
        <f t="shared" ref="U579:U642" si="36">LEFT(T579, 1024)</f>
        <v>["fc52bf4c-af53-4896-8276-f778f221b20b"]</v>
      </c>
      <c r="V579" t="str">
        <f t="shared" ref="V579:V642" si="37">MID(T579, 1025, 1024)</f>
        <v/>
      </c>
      <c r="W579" t="str">
        <f t="shared" ref="W579:W642" si="38">MID(T579, 2049, 1024)</f>
        <v/>
      </c>
      <c r="X579" t="str">
        <f t="shared" ref="X579:X642" si="39">MID(T579, 3073, 1024)</f>
        <v/>
      </c>
    </row>
    <row r="580" spans="1:24" ht="409.5" x14ac:dyDescent="0.25">
      <c r="A580" t="s">
        <v>3220</v>
      </c>
      <c r="B580" t="s">
        <v>3221</v>
      </c>
      <c r="C580" t="s">
        <v>3222</v>
      </c>
      <c r="F580" s="2" t="s">
        <v>3223</v>
      </c>
      <c r="L580" t="s">
        <v>24</v>
      </c>
      <c r="M580" t="s">
        <v>25</v>
      </c>
      <c r="O580" t="s">
        <v>26</v>
      </c>
      <c r="P580" t="s">
        <v>3224</v>
      </c>
      <c r="Q580" t="s">
        <v>28</v>
      </c>
      <c r="R580" s="3">
        <v>44734.716180555559</v>
      </c>
      <c r="T580" t="s">
        <v>3225</v>
      </c>
      <c r="U580" t="str">
        <f t="shared" si="36"/>
        <v>["817af5ea-4b9a-4706-8953-9a122be0166b"]</v>
      </c>
      <c r="V580" t="str">
        <f t="shared" si="37"/>
        <v/>
      </c>
      <c r="W580" t="str">
        <f t="shared" si="38"/>
        <v/>
      </c>
      <c r="X580" t="str">
        <f t="shared" si="39"/>
        <v/>
      </c>
    </row>
    <row r="581" spans="1:24" x14ac:dyDescent="0.25">
      <c r="A581" t="s">
        <v>3226</v>
      </c>
      <c r="B581" t="s">
        <v>3227</v>
      </c>
      <c r="C581" t="s">
        <v>3228</v>
      </c>
      <c r="F581" t="s">
        <v>3229</v>
      </c>
      <c r="L581" t="s">
        <v>24</v>
      </c>
      <c r="M581" t="s">
        <v>25</v>
      </c>
      <c r="O581" t="s">
        <v>26</v>
      </c>
      <c r="P581" t="s">
        <v>3230</v>
      </c>
      <c r="Q581" t="s">
        <v>28</v>
      </c>
      <c r="R581" s="3">
        <v>44432.376018518517</v>
      </c>
      <c r="T581" t="s">
        <v>3231</v>
      </c>
      <c r="U581" t="str">
        <f t="shared" si="36"/>
        <v>["31416a3d-5a44-4f78-8b2c-765a2738aacc"]</v>
      </c>
      <c r="V581" t="str">
        <f t="shared" si="37"/>
        <v/>
      </c>
      <c r="W581" t="str">
        <f t="shared" si="38"/>
        <v/>
      </c>
      <c r="X581" t="str">
        <f t="shared" si="39"/>
        <v/>
      </c>
    </row>
    <row r="582" spans="1:24" ht="409.5" x14ac:dyDescent="0.25">
      <c r="A582" t="s">
        <v>3232</v>
      </c>
      <c r="B582" t="s">
        <v>3233</v>
      </c>
      <c r="C582" t="s">
        <v>3234</v>
      </c>
      <c r="F582" s="2" t="s">
        <v>3235</v>
      </c>
      <c r="L582" t="s">
        <v>24</v>
      </c>
      <c r="M582" t="s">
        <v>25</v>
      </c>
      <c r="O582" t="s">
        <v>26</v>
      </c>
      <c r="P582" t="s">
        <v>3236</v>
      </c>
      <c r="Q582" t="s">
        <v>28</v>
      </c>
      <c r="R582" s="3">
        <v>45005.471030092594</v>
      </c>
      <c r="T582" t="s">
        <v>1150</v>
      </c>
      <c r="U582" t="str">
        <f t="shared" si="36"/>
        <v>["1f4a62eb-6f1a-4bfe-b7cd-e6dede0be00a"]</v>
      </c>
      <c r="V582" t="str">
        <f t="shared" si="37"/>
        <v/>
      </c>
      <c r="W582" t="str">
        <f t="shared" si="38"/>
        <v/>
      </c>
      <c r="X582" t="str">
        <f t="shared" si="39"/>
        <v/>
      </c>
    </row>
    <row r="583" spans="1:24" x14ac:dyDescent="0.25">
      <c r="A583" t="s">
        <v>3237</v>
      </c>
      <c r="B583" t="s">
        <v>3238</v>
      </c>
      <c r="C583" t="s">
        <v>3239</v>
      </c>
      <c r="F583" t="s">
        <v>3240</v>
      </c>
      <c r="L583" t="s">
        <v>24</v>
      </c>
      <c r="M583" t="s">
        <v>25</v>
      </c>
      <c r="O583" t="s">
        <v>26</v>
      </c>
      <c r="P583" t="s">
        <v>3241</v>
      </c>
      <c r="Q583" t="s">
        <v>28</v>
      </c>
      <c r="R583" s="3">
        <v>44390.465787037036</v>
      </c>
      <c r="T583" t="s">
        <v>3242</v>
      </c>
      <c r="U583" t="str">
        <f t="shared" si="36"/>
        <v>["dcb4ba1d-94c6-48b9-82c9-e315bd0e8f31"]</v>
      </c>
      <c r="V583" t="str">
        <f t="shared" si="37"/>
        <v/>
      </c>
      <c r="W583" t="str">
        <f t="shared" si="38"/>
        <v/>
      </c>
      <c r="X583" t="str">
        <f t="shared" si="39"/>
        <v/>
      </c>
    </row>
    <row r="584" spans="1:24" x14ac:dyDescent="0.25">
      <c r="A584" s="4" t="s">
        <v>3243</v>
      </c>
      <c r="B584" t="s">
        <v>3244</v>
      </c>
      <c r="C584" t="s">
        <v>3245</v>
      </c>
      <c r="F584" t="s">
        <v>3246</v>
      </c>
      <c r="L584" t="s">
        <v>24</v>
      </c>
      <c r="M584" t="s">
        <v>25</v>
      </c>
      <c r="O584" t="s">
        <v>26</v>
      </c>
      <c r="P584" t="s">
        <v>3247</v>
      </c>
      <c r="Q584" t="s">
        <v>28</v>
      </c>
      <c r="R584" s="3">
        <v>44463.59375</v>
      </c>
      <c r="T584" t="s">
        <v>433</v>
      </c>
      <c r="U584" t="str">
        <f t="shared" si="36"/>
        <v>["2c54f4d6-5712-4e5a-a025-b7f7a396c39b"]</v>
      </c>
      <c r="V584" t="str">
        <f t="shared" si="37"/>
        <v/>
      </c>
      <c r="W584" t="str">
        <f t="shared" si="38"/>
        <v/>
      </c>
      <c r="X584" t="str">
        <f t="shared" si="39"/>
        <v/>
      </c>
    </row>
    <row r="585" spans="1:24" ht="409.5" x14ac:dyDescent="0.25">
      <c r="A585" t="s">
        <v>3248</v>
      </c>
      <c r="B585" t="s">
        <v>3249</v>
      </c>
      <c r="C585" t="s">
        <v>3250</v>
      </c>
      <c r="F585" s="2" t="s">
        <v>3251</v>
      </c>
      <c r="L585" t="s">
        <v>24</v>
      </c>
      <c r="M585" t="s">
        <v>25</v>
      </c>
      <c r="O585" t="s">
        <v>26</v>
      </c>
      <c r="P585" t="s">
        <v>3252</v>
      </c>
      <c r="Q585" t="s">
        <v>28</v>
      </c>
      <c r="R585" s="3">
        <v>44417.729490740741</v>
      </c>
      <c r="T585" t="s">
        <v>3253</v>
      </c>
      <c r="U585" t="str">
        <f t="shared" si="36"/>
        <v>["e640951d-4179-44ed-a9cb-9e42169e9b48", "fa96d249-2f58-48ce-bb3f-bb18b447ffc8", "a0535d6d-4c34-4524-9591-e9e51e3d28c4"]</v>
      </c>
      <c r="V585" t="str">
        <f t="shared" si="37"/>
        <v/>
      </c>
      <c r="W585" t="str">
        <f t="shared" si="38"/>
        <v/>
      </c>
      <c r="X585" t="str">
        <f t="shared" si="39"/>
        <v/>
      </c>
    </row>
    <row r="586" spans="1:24" x14ac:dyDescent="0.25">
      <c r="A586" t="s">
        <v>3254</v>
      </c>
      <c r="B586" t="s">
        <v>3255</v>
      </c>
      <c r="C586" t="s">
        <v>3256</v>
      </c>
      <c r="F586" t="s">
        <v>3257</v>
      </c>
      <c r="L586" t="s">
        <v>24</v>
      </c>
      <c r="M586" t="s">
        <v>25</v>
      </c>
      <c r="O586" t="s">
        <v>26</v>
      </c>
      <c r="P586" t="s">
        <v>3258</v>
      </c>
      <c r="Q586" t="s">
        <v>28</v>
      </c>
      <c r="R586" s="3">
        <v>44463.583668981482</v>
      </c>
      <c r="T586" t="s">
        <v>3259</v>
      </c>
      <c r="U586" t="str">
        <f t="shared" si="36"/>
        <v>["a4686c70-aefd-4db5-8c4d-412e162722bc"]</v>
      </c>
      <c r="V586" t="str">
        <f t="shared" si="37"/>
        <v/>
      </c>
      <c r="W586" t="str">
        <f t="shared" si="38"/>
        <v/>
      </c>
      <c r="X586" t="str">
        <f t="shared" si="39"/>
        <v/>
      </c>
    </row>
    <row r="587" spans="1:24" ht="405" x14ac:dyDescent="0.25">
      <c r="A587" t="s">
        <v>3260</v>
      </c>
      <c r="B587" t="s">
        <v>3261</v>
      </c>
      <c r="C587" t="s">
        <v>3262</v>
      </c>
      <c r="F587" s="2" t="s">
        <v>3263</v>
      </c>
      <c r="L587" t="s">
        <v>24</v>
      </c>
      <c r="M587" t="s">
        <v>25</v>
      </c>
      <c r="O587" t="s">
        <v>26</v>
      </c>
      <c r="P587" t="s">
        <v>3264</v>
      </c>
      <c r="Q587" t="s">
        <v>28</v>
      </c>
      <c r="R587" s="3">
        <v>41190.579270833332</v>
      </c>
      <c r="T587" t="s">
        <v>3265</v>
      </c>
      <c r="U587" t="str">
        <f t="shared" si="36"/>
        <v>["8b9c7679-fa9c-4d29-85fe-c85a934d79b4", "526e6fdf-9159-4f68-9450-32d4162381ff"]</v>
      </c>
      <c r="V587" t="str">
        <f t="shared" si="37"/>
        <v/>
      </c>
      <c r="W587" t="str">
        <f t="shared" si="38"/>
        <v/>
      </c>
      <c r="X587" t="str">
        <f t="shared" si="39"/>
        <v/>
      </c>
    </row>
    <row r="588" spans="1:24" ht="409.5" x14ac:dyDescent="0.25">
      <c r="A588" t="s">
        <v>3266</v>
      </c>
      <c r="B588" t="s">
        <v>3267</v>
      </c>
      <c r="C588" t="s">
        <v>3268</v>
      </c>
      <c r="F588" s="2" t="s">
        <v>3269</v>
      </c>
      <c r="L588" t="s">
        <v>24</v>
      </c>
      <c r="M588" t="s">
        <v>25</v>
      </c>
      <c r="O588" t="s">
        <v>26</v>
      </c>
      <c r="P588" t="s">
        <v>3270</v>
      </c>
      <c r="Q588" t="s">
        <v>28</v>
      </c>
      <c r="R588" s="3">
        <v>44550.745949074073</v>
      </c>
      <c r="T588" t="s">
        <v>3271</v>
      </c>
      <c r="U588" t="str">
        <f t="shared" si="36"/>
        <v>["4532a95c-95e8-44da-9bac-9d56e8ab39c2", "d230c9e8-745a-4da3-a3b4-86842591d9f0"]</v>
      </c>
      <c r="V588" t="str">
        <f t="shared" si="37"/>
        <v/>
      </c>
      <c r="W588" t="str">
        <f t="shared" si="38"/>
        <v/>
      </c>
      <c r="X588" t="str">
        <f t="shared" si="39"/>
        <v/>
      </c>
    </row>
    <row r="589" spans="1:24" x14ac:dyDescent="0.25">
      <c r="A589" t="s">
        <v>3272</v>
      </c>
      <c r="B589" t="s">
        <v>3273</v>
      </c>
      <c r="C589" t="s">
        <v>3274</v>
      </c>
      <c r="F589" t="s">
        <v>3275</v>
      </c>
      <c r="L589" t="s">
        <v>24</v>
      </c>
      <c r="M589" t="s">
        <v>25</v>
      </c>
      <c r="O589" t="s">
        <v>26</v>
      </c>
      <c r="P589" t="s">
        <v>3276</v>
      </c>
      <c r="Q589" t="s">
        <v>28</v>
      </c>
      <c r="R589" s="3">
        <v>44552.543680555558</v>
      </c>
      <c r="T589" t="s">
        <v>3277</v>
      </c>
      <c r="U589" t="str">
        <f t="shared" si="36"/>
        <v>["CFE2FF7E9AD33C1EE053C630070AB101", "CFE25C2336D833E7E053C630070A709E", "CFE2FF7E9AD53C1EE053C630070AB105", "9a4e5d24-93db-3c4e-8e45-c4f291d59e55", "3174dad5-a408-36e8-b75e-af18d0969129", "CFE2FF7E9AD43C1EE053C630070AB103"]</v>
      </c>
      <c r="V589" t="str">
        <f t="shared" si="37"/>
        <v/>
      </c>
      <c r="W589" t="str">
        <f t="shared" si="38"/>
        <v/>
      </c>
      <c r="X589" t="str">
        <f t="shared" si="39"/>
        <v/>
      </c>
    </row>
    <row r="590" spans="1:24" ht="330" x14ac:dyDescent="0.25">
      <c r="A590" t="s">
        <v>3278</v>
      </c>
      <c r="B590" t="s">
        <v>3279</v>
      </c>
      <c r="C590" t="s">
        <v>3280</v>
      </c>
      <c r="F590" s="2" t="s">
        <v>3281</v>
      </c>
      <c r="L590" t="s">
        <v>24</v>
      </c>
      <c r="M590" t="s">
        <v>25</v>
      </c>
      <c r="O590" t="s">
        <v>26</v>
      </c>
      <c r="P590" t="s">
        <v>3282</v>
      </c>
      <c r="Q590" t="s">
        <v>28</v>
      </c>
      <c r="R590" s="3">
        <v>44816.693923611114</v>
      </c>
      <c r="T590" t="s">
        <v>3283</v>
      </c>
      <c r="U590" t="str">
        <f t="shared" si="36"/>
        <v>["2ee6b8bf-6292-413c-bb8b-bd22dbb2ad4b", "898afe8c-0297-45d6-b4b5-0cb9e632094b"]</v>
      </c>
      <c r="V590" t="str">
        <f t="shared" si="37"/>
        <v/>
      </c>
      <c r="W590" t="str">
        <f t="shared" si="38"/>
        <v/>
      </c>
      <c r="X590" t="str">
        <f t="shared" si="39"/>
        <v/>
      </c>
    </row>
    <row r="591" spans="1:24" ht="409.5" x14ac:dyDescent="0.25">
      <c r="A591" t="s">
        <v>3284</v>
      </c>
      <c r="B591" t="s">
        <v>3285</v>
      </c>
      <c r="C591" t="s">
        <v>3286</v>
      </c>
      <c r="F591" s="2" t="s">
        <v>3287</v>
      </c>
      <c r="L591" t="s">
        <v>24</v>
      </c>
      <c r="M591" t="s">
        <v>25</v>
      </c>
      <c r="O591" t="s">
        <v>26</v>
      </c>
      <c r="P591" t="s">
        <v>3288</v>
      </c>
      <c r="Q591" t="s">
        <v>28</v>
      </c>
      <c r="R591" s="3">
        <v>44454.454710648148</v>
      </c>
      <c r="T591" t="s">
        <v>433</v>
      </c>
      <c r="U591" t="str">
        <f t="shared" si="36"/>
        <v>["2c54f4d6-5712-4e5a-a025-b7f7a396c39b"]</v>
      </c>
      <c r="V591" t="str">
        <f t="shared" si="37"/>
        <v/>
      </c>
      <c r="W591" t="str">
        <f t="shared" si="38"/>
        <v/>
      </c>
      <c r="X591" t="str">
        <f t="shared" si="39"/>
        <v/>
      </c>
    </row>
    <row r="592" spans="1:24" x14ac:dyDescent="0.25">
      <c r="A592" t="s">
        <v>3289</v>
      </c>
      <c r="B592" t="s">
        <v>3290</v>
      </c>
      <c r="C592" t="s">
        <v>3291</v>
      </c>
      <c r="F592" t="s">
        <v>3292</v>
      </c>
      <c r="L592" t="s">
        <v>24</v>
      </c>
      <c r="M592" t="s">
        <v>25</v>
      </c>
      <c r="O592" t="s">
        <v>26</v>
      </c>
      <c r="P592" t="s">
        <v>3293</v>
      </c>
      <c r="Q592" t="s">
        <v>28</v>
      </c>
      <c r="R592" s="3">
        <v>44470.645231481481</v>
      </c>
      <c r="T592" t="s">
        <v>2867</v>
      </c>
      <c r="U592" t="str">
        <f t="shared" si="36"/>
        <v>["ef8e980b-9644-45d8-b0e9-c6aaf0eff0c0", "4b71eb3d-7d55-4967-b80d-91a3f220b60c"]</v>
      </c>
      <c r="V592" t="str">
        <f t="shared" si="37"/>
        <v/>
      </c>
      <c r="W592" t="str">
        <f t="shared" si="38"/>
        <v/>
      </c>
      <c r="X592" t="str">
        <f t="shared" si="39"/>
        <v/>
      </c>
    </row>
    <row r="593" spans="1:24" x14ac:dyDescent="0.25">
      <c r="A593" t="s">
        <v>3294</v>
      </c>
      <c r="B593" t="s">
        <v>3295</v>
      </c>
      <c r="C593" t="s">
        <v>3296</v>
      </c>
      <c r="F593" t="s">
        <v>3297</v>
      </c>
      <c r="L593" t="s">
        <v>24</v>
      </c>
      <c r="M593" t="s">
        <v>25</v>
      </c>
      <c r="O593" t="s">
        <v>26</v>
      </c>
      <c r="P593" t="s">
        <v>3298</v>
      </c>
      <c r="Q593" t="s">
        <v>28</v>
      </c>
      <c r="R593" s="3">
        <v>44595.628553240742</v>
      </c>
      <c r="T593" t="s">
        <v>433</v>
      </c>
      <c r="U593" t="str">
        <f t="shared" si="36"/>
        <v>["2c54f4d6-5712-4e5a-a025-b7f7a396c39b"]</v>
      </c>
      <c r="V593" t="str">
        <f t="shared" si="37"/>
        <v/>
      </c>
      <c r="W593" t="str">
        <f t="shared" si="38"/>
        <v/>
      </c>
      <c r="X593" t="str">
        <f t="shared" si="39"/>
        <v/>
      </c>
    </row>
    <row r="594" spans="1:24" x14ac:dyDescent="0.25">
      <c r="A594" t="s">
        <v>3299</v>
      </c>
      <c r="B594" t="s">
        <v>3300</v>
      </c>
      <c r="C594" t="s">
        <v>3301</v>
      </c>
      <c r="F594" t="s">
        <v>3302</v>
      </c>
      <c r="L594" t="s">
        <v>24</v>
      </c>
      <c r="M594" t="s">
        <v>25</v>
      </c>
      <c r="O594" t="s">
        <v>26</v>
      </c>
      <c r="P594" t="s">
        <v>3303</v>
      </c>
      <c r="Q594" t="s">
        <v>28</v>
      </c>
      <c r="R594" s="3">
        <v>44616.428437499999</v>
      </c>
      <c r="T594" t="s">
        <v>3304</v>
      </c>
      <c r="U594" t="str">
        <f t="shared" si="36"/>
        <v>["3179c5b2-9bb5-4a7f-a573-5491ccb0110b", "09716341-2bea-4298-9525-e936d8247d19", "8becadda-124e-43f3-900e-f1ab685574e5"]</v>
      </c>
      <c r="V594" t="str">
        <f t="shared" si="37"/>
        <v/>
      </c>
      <c r="W594" t="str">
        <f t="shared" si="38"/>
        <v/>
      </c>
      <c r="X594" t="str">
        <f t="shared" si="39"/>
        <v/>
      </c>
    </row>
    <row r="595" spans="1:24" ht="409.5" x14ac:dyDescent="0.25">
      <c r="A595" t="s">
        <v>3305</v>
      </c>
      <c r="B595" t="s">
        <v>3306</v>
      </c>
      <c r="C595" t="s">
        <v>3307</v>
      </c>
      <c r="F595" s="2" t="s">
        <v>3308</v>
      </c>
      <c r="L595" t="s">
        <v>24</v>
      </c>
      <c r="M595" t="s">
        <v>25</v>
      </c>
      <c r="O595" t="s">
        <v>26</v>
      </c>
      <c r="P595" t="s">
        <v>3309</v>
      </c>
      <c r="Q595" t="s">
        <v>28</v>
      </c>
      <c r="R595" s="3">
        <v>44470.628518518519</v>
      </c>
      <c r="T595" t="s">
        <v>3310</v>
      </c>
      <c r="U595" t="str">
        <f t="shared" si="36"/>
        <v>["4a2203cb-ed49-4e51-8f41-0bdfd821e9c3"]</v>
      </c>
      <c r="V595" t="str">
        <f t="shared" si="37"/>
        <v/>
      </c>
      <c r="W595" t="str">
        <f t="shared" si="38"/>
        <v/>
      </c>
      <c r="X595" t="str">
        <f t="shared" si="39"/>
        <v/>
      </c>
    </row>
    <row r="596" spans="1:24" ht="409.5" x14ac:dyDescent="0.25">
      <c r="A596" t="s">
        <v>3311</v>
      </c>
      <c r="B596" t="s">
        <v>3312</v>
      </c>
      <c r="C596" t="s">
        <v>3313</v>
      </c>
      <c r="F596" s="2" t="s">
        <v>3314</v>
      </c>
      <c r="L596" t="s">
        <v>24</v>
      </c>
      <c r="M596" t="s">
        <v>25</v>
      </c>
      <c r="O596" t="s">
        <v>26</v>
      </c>
      <c r="P596" t="s">
        <v>3315</v>
      </c>
      <c r="Q596" t="s">
        <v>28</v>
      </c>
      <c r="R596" s="3">
        <v>44489.582650462966</v>
      </c>
      <c r="T596" t="s">
        <v>3316</v>
      </c>
      <c r="U596" t="str">
        <f t="shared" si="36"/>
        <v>["1d5c2411-9719-4c8f-b99d-57a5f4a4ae41", "2c54f4d6-5712-4e5a-a025-b7f7a396c39b"]</v>
      </c>
      <c r="V596" t="str">
        <f t="shared" si="37"/>
        <v/>
      </c>
      <c r="W596" t="str">
        <f t="shared" si="38"/>
        <v/>
      </c>
      <c r="X596" t="str">
        <f t="shared" si="39"/>
        <v/>
      </c>
    </row>
    <row r="597" spans="1:24" x14ac:dyDescent="0.25">
      <c r="A597" t="s">
        <v>3317</v>
      </c>
      <c r="B597" t="s">
        <v>3318</v>
      </c>
      <c r="C597" t="s">
        <v>3319</v>
      </c>
      <c r="F597" t="s">
        <v>3320</v>
      </c>
      <c r="L597" t="s">
        <v>24</v>
      </c>
      <c r="M597" t="s">
        <v>25</v>
      </c>
      <c r="O597" t="s">
        <v>26</v>
      </c>
      <c r="P597" t="s">
        <v>3321</v>
      </c>
      <c r="Q597" t="s">
        <v>28</v>
      </c>
      <c r="R597" s="3">
        <v>44645.394606481481</v>
      </c>
      <c r="T597" t="s">
        <v>3322</v>
      </c>
      <c r="U597" t="str">
        <f t="shared" si="36"/>
        <v>["78bd7b69-c1a7-456b-8698-fac3b24f7aa5"]</v>
      </c>
      <c r="V597" t="str">
        <f t="shared" si="37"/>
        <v/>
      </c>
      <c r="W597" t="str">
        <f t="shared" si="38"/>
        <v/>
      </c>
      <c r="X597" t="str">
        <f t="shared" si="39"/>
        <v/>
      </c>
    </row>
    <row r="598" spans="1:24" x14ac:dyDescent="0.25">
      <c r="A598" t="s">
        <v>3323</v>
      </c>
      <c r="B598" t="s">
        <v>3324</v>
      </c>
      <c r="C598" t="s">
        <v>3325</v>
      </c>
      <c r="F598" t="s">
        <v>3326</v>
      </c>
      <c r="L598" t="s">
        <v>24</v>
      </c>
      <c r="M598" t="s">
        <v>25</v>
      </c>
      <c r="O598" t="s">
        <v>26</v>
      </c>
      <c r="P598" t="s">
        <v>3327</v>
      </c>
      <c r="Q598" t="s">
        <v>28</v>
      </c>
      <c r="R598" s="3">
        <v>44963.648553240739</v>
      </c>
      <c r="T598" t="s">
        <v>3328</v>
      </c>
      <c r="U598" t="str">
        <f t="shared" si="36"/>
        <v>["5d5214cc-9667-4132-8f23-9b0cf842cee6"]</v>
      </c>
      <c r="V598" t="str">
        <f t="shared" si="37"/>
        <v/>
      </c>
      <c r="W598" t="str">
        <f t="shared" si="38"/>
        <v/>
      </c>
      <c r="X598" t="str">
        <f t="shared" si="39"/>
        <v/>
      </c>
    </row>
    <row r="599" spans="1:24" x14ac:dyDescent="0.25">
      <c r="A599" t="s">
        <v>3329</v>
      </c>
      <c r="B599" t="s">
        <v>3330</v>
      </c>
      <c r="C599" t="s">
        <v>2796</v>
      </c>
      <c r="F599" t="s">
        <v>3331</v>
      </c>
      <c r="L599" t="s">
        <v>24</v>
      </c>
      <c r="M599" t="s">
        <v>25</v>
      </c>
      <c r="O599" t="s">
        <v>26</v>
      </c>
      <c r="P599" t="s">
        <v>3332</v>
      </c>
      <c r="Q599" t="s">
        <v>28</v>
      </c>
      <c r="R599" s="3">
        <v>45289.639733796299</v>
      </c>
      <c r="T599" t="s">
        <v>3333</v>
      </c>
      <c r="U599" t="str">
        <f t="shared" si="36"/>
        <v>["6cb3abed-6c76-47f2-bf40-2ddbea78cb35"]</v>
      </c>
      <c r="V599" t="str">
        <f t="shared" si="37"/>
        <v/>
      </c>
      <c r="W599" t="str">
        <f t="shared" si="38"/>
        <v/>
      </c>
      <c r="X599" t="str">
        <f t="shared" si="39"/>
        <v/>
      </c>
    </row>
    <row r="600" spans="1:24" x14ac:dyDescent="0.25">
      <c r="A600" t="s">
        <v>3334</v>
      </c>
      <c r="B600" t="s">
        <v>3335</v>
      </c>
      <c r="C600" t="s">
        <v>3335</v>
      </c>
      <c r="F600" t="s">
        <v>3336</v>
      </c>
      <c r="L600" t="s">
        <v>24</v>
      </c>
      <c r="M600" t="s">
        <v>25</v>
      </c>
      <c r="O600" t="s">
        <v>26</v>
      </c>
      <c r="P600" t="s">
        <v>3337</v>
      </c>
      <c r="Q600" t="s">
        <v>28</v>
      </c>
      <c r="R600" s="3">
        <v>45315.712106481478</v>
      </c>
      <c r="T600" t="s">
        <v>674</v>
      </c>
      <c r="U600" t="str">
        <f t="shared" si="36"/>
        <v>["522d3045-0b37-48d0-b868-57c99726b1c4"]</v>
      </c>
      <c r="V600" t="str">
        <f t="shared" si="37"/>
        <v/>
      </c>
      <c r="W600" t="str">
        <f t="shared" si="38"/>
        <v/>
      </c>
      <c r="X600" t="str">
        <f t="shared" si="39"/>
        <v/>
      </c>
    </row>
    <row r="601" spans="1:24" ht="409.5" x14ac:dyDescent="0.25">
      <c r="A601" t="s">
        <v>3338</v>
      </c>
      <c r="B601" t="s">
        <v>3339</v>
      </c>
      <c r="C601" t="s">
        <v>3340</v>
      </c>
      <c r="F601" s="2" t="s">
        <v>3341</v>
      </c>
      <c r="L601" t="s">
        <v>24</v>
      </c>
      <c r="M601" t="s">
        <v>25</v>
      </c>
      <c r="O601" t="s">
        <v>26</v>
      </c>
      <c r="P601" t="s">
        <v>3342</v>
      </c>
      <c r="Q601" t="s">
        <v>28</v>
      </c>
      <c r="R601" s="3">
        <v>44719.414444444446</v>
      </c>
      <c r="T601" t="s">
        <v>674</v>
      </c>
      <c r="U601" t="str">
        <f t="shared" si="36"/>
        <v>["522d3045-0b37-48d0-b868-57c99726b1c4"]</v>
      </c>
      <c r="V601" t="str">
        <f t="shared" si="37"/>
        <v/>
      </c>
      <c r="W601" t="str">
        <f t="shared" si="38"/>
        <v/>
      </c>
      <c r="X601" t="str">
        <f t="shared" si="39"/>
        <v/>
      </c>
    </row>
    <row r="602" spans="1:24" x14ac:dyDescent="0.25">
      <c r="A602" t="s">
        <v>3343</v>
      </c>
      <c r="B602" t="s">
        <v>3344</v>
      </c>
      <c r="C602" t="s">
        <v>3345</v>
      </c>
      <c r="F602" t="s">
        <v>3346</v>
      </c>
      <c r="L602" t="s">
        <v>24</v>
      </c>
      <c r="M602" t="s">
        <v>25</v>
      </c>
      <c r="O602" t="s">
        <v>26</v>
      </c>
      <c r="P602" t="s">
        <v>3347</v>
      </c>
      <c r="Q602" t="s">
        <v>28</v>
      </c>
      <c r="R602" s="3">
        <v>41759.424537037034</v>
      </c>
      <c r="T602" t="s">
        <v>590</v>
      </c>
      <c r="U602" t="str">
        <f t="shared" si="36"/>
        <v>["522d3045-0b37-48d0-b868-57c99726b1c4", "9c203fec-dc0d-412c-a7a3-7fd77d0346f1"]</v>
      </c>
      <c r="V602" t="str">
        <f t="shared" si="37"/>
        <v/>
      </c>
      <c r="W602" t="str">
        <f t="shared" si="38"/>
        <v/>
      </c>
      <c r="X602" t="str">
        <f t="shared" si="39"/>
        <v/>
      </c>
    </row>
    <row r="603" spans="1:24" ht="409.5" x14ac:dyDescent="0.25">
      <c r="A603" t="s">
        <v>3348</v>
      </c>
      <c r="B603" t="s">
        <v>3349</v>
      </c>
      <c r="C603" t="s">
        <v>3350</v>
      </c>
      <c r="F603" s="2" t="s">
        <v>3351</v>
      </c>
      <c r="L603" t="s">
        <v>24</v>
      </c>
      <c r="M603" t="s">
        <v>25</v>
      </c>
      <c r="O603" t="s">
        <v>26</v>
      </c>
      <c r="P603" t="s">
        <v>3352</v>
      </c>
      <c r="Q603" t="s">
        <v>28</v>
      </c>
      <c r="R603" s="3">
        <v>42758.422500000001</v>
      </c>
      <c r="T603" t="s">
        <v>2550</v>
      </c>
      <c r="U603" t="str">
        <f t="shared" si="36"/>
        <v>["e454bf6a-3321-4a86-998a-af61123eb056"]</v>
      </c>
      <c r="V603" t="str">
        <f t="shared" si="37"/>
        <v/>
      </c>
      <c r="W603" t="str">
        <f t="shared" si="38"/>
        <v/>
      </c>
      <c r="X603" t="str">
        <f t="shared" si="39"/>
        <v/>
      </c>
    </row>
    <row r="604" spans="1:24" x14ac:dyDescent="0.25">
      <c r="A604" t="s">
        <v>3353</v>
      </c>
      <c r="B604" t="s">
        <v>3354</v>
      </c>
      <c r="C604" t="s">
        <v>3355</v>
      </c>
      <c r="F604" t="s">
        <v>3356</v>
      </c>
      <c r="L604" t="s">
        <v>24</v>
      </c>
      <c r="M604" t="s">
        <v>25</v>
      </c>
      <c r="O604" t="s">
        <v>26</v>
      </c>
      <c r="P604" t="s">
        <v>3357</v>
      </c>
      <c r="Q604" t="s">
        <v>28</v>
      </c>
      <c r="R604" s="3">
        <v>44543.614155092589</v>
      </c>
      <c r="T604" t="s">
        <v>2086</v>
      </c>
      <c r="U604" t="str">
        <f t="shared" si="36"/>
        <v>["a73befc7-575f-48cb-8eb9-b05172a8c9e3"]</v>
      </c>
      <c r="V604" t="str">
        <f t="shared" si="37"/>
        <v/>
      </c>
      <c r="W604" t="str">
        <f t="shared" si="38"/>
        <v/>
      </c>
      <c r="X604" t="str">
        <f t="shared" si="39"/>
        <v/>
      </c>
    </row>
    <row r="605" spans="1:24" x14ac:dyDescent="0.25">
      <c r="A605" t="s">
        <v>3358</v>
      </c>
      <c r="B605" t="s">
        <v>3359</v>
      </c>
      <c r="C605" t="s">
        <v>3360</v>
      </c>
      <c r="F605" t="s">
        <v>3361</v>
      </c>
      <c r="L605" t="s">
        <v>24</v>
      </c>
      <c r="M605" t="s">
        <v>25</v>
      </c>
      <c r="O605" t="s">
        <v>26</v>
      </c>
      <c r="P605" t="s">
        <v>3362</v>
      </c>
      <c r="Q605" t="s">
        <v>28</v>
      </c>
      <c r="R605" s="3">
        <v>44573.459560185183</v>
      </c>
      <c r="T605" t="s">
        <v>3363</v>
      </c>
      <c r="U605" t="str">
        <f t="shared" si="36"/>
        <v>["e04221bc-7309-48b8-bffd-77655c626b8d"]</v>
      </c>
      <c r="V605" t="str">
        <f t="shared" si="37"/>
        <v/>
      </c>
      <c r="W605" t="str">
        <f t="shared" si="38"/>
        <v/>
      </c>
      <c r="X605" t="str">
        <f t="shared" si="39"/>
        <v/>
      </c>
    </row>
    <row r="606" spans="1:24" x14ac:dyDescent="0.25">
      <c r="A606" t="s">
        <v>3364</v>
      </c>
      <c r="B606" t="s">
        <v>3365</v>
      </c>
      <c r="C606" t="s">
        <v>3366</v>
      </c>
      <c r="F606" t="s">
        <v>3367</v>
      </c>
      <c r="L606" t="s">
        <v>24</v>
      </c>
      <c r="M606" t="s">
        <v>25</v>
      </c>
      <c r="O606" t="s">
        <v>26</v>
      </c>
      <c r="P606" t="s">
        <v>3368</v>
      </c>
      <c r="Q606" t="s">
        <v>28</v>
      </c>
      <c r="R606" s="3">
        <v>44680.735405092593</v>
      </c>
      <c r="T606" t="s">
        <v>3369</v>
      </c>
      <c r="U606" t="str">
        <f t="shared" si="36"/>
        <v>["25b694ad-802b-4f64-bcbc-09897b0dcbf7"]</v>
      </c>
      <c r="V606" t="str">
        <f t="shared" si="37"/>
        <v/>
      </c>
      <c r="W606" t="str">
        <f t="shared" si="38"/>
        <v/>
      </c>
      <c r="X606" t="str">
        <f t="shared" si="39"/>
        <v/>
      </c>
    </row>
    <row r="607" spans="1:24" x14ac:dyDescent="0.25">
      <c r="A607" t="s">
        <v>3370</v>
      </c>
      <c r="B607" t="s">
        <v>3371</v>
      </c>
      <c r="C607" t="s">
        <v>3372</v>
      </c>
      <c r="F607" t="s">
        <v>3373</v>
      </c>
      <c r="L607" t="s">
        <v>24</v>
      </c>
      <c r="M607" t="s">
        <v>25</v>
      </c>
      <c r="O607" t="s">
        <v>26</v>
      </c>
      <c r="P607" t="s">
        <v>3374</v>
      </c>
      <c r="Q607" t="s">
        <v>28</v>
      </c>
      <c r="R607" s="3">
        <v>44588.665752314817</v>
      </c>
      <c r="T607" t="s">
        <v>1096</v>
      </c>
      <c r="U607" t="str">
        <f t="shared" si="36"/>
        <v>["9b40a0af-a6fe-47ff-9624-2ea8f40c746f"]</v>
      </c>
      <c r="V607" t="str">
        <f t="shared" si="37"/>
        <v/>
      </c>
      <c r="W607" t="str">
        <f t="shared" si="38"/>
        <v/>
      </c>
      <c r="X607" t="str">
        <f t="shared" si="39"/>
        <v/>
      </c>
    </row>
    <row r="608" spans="1:24" ht="409.5" x14ac:dyDescent="0.25">
      <c r="A608" t="s">
        <v>3375</v>
      </c>
      <c r="B608" t="s">
        <v>3376</v>
      </c>
      <c r="C608" t="s">
        <v>3377</v>
      </c>
      <c r="F608" s="2" t="s">
        <v>3378</v>
      </c>
      <c r="L608" t="s">
        <v>24</v>
      </c>
      <c r="M608" t="s">
        <v>25</v>
      </c>
      <c r="O608" t="s">
        <v>26</v>
      </c>
      <c r="P608" t="s">
        <v>3379</v>
      </c>
      <c r="Q608" t="s">
        <v>28</v>
      </c>
      <c r="R608" s="3">
        <v>44623.580081018517</v>
      </c>
      <c r="T608" t="s">
        <v>3380</v>
      </c>
      <c r="U608" t="str">
        <f t="shared" si="36"/>
        <v>["71a6ca86-228a-4b57-b1bc-c3b887dd009e", "6858b208-62bc-424e-9d7b-c89b74d3d3e3", "2c54f4d6-5712-4e5a-a025-b7f7a396c39b"]</v>
      </c>
      <c r="V608" t="str">
        <f t="shared" si="37"/>
        <v/>
      </c>
      <c r="W608" t="str">
        <f t="shared" si="38"/>
        <v/>
      </c>
      <c r="X608" t="str">
        <f t="shared" si="39"/>
        <v/>
      </c>
    </row>
    <row r="609" spans="1:24" ht="409.5" x14ac:dyDescent="0.25">
      <c r="A609" t="s">
        <v>3381</v>
      </c>
      <c r="B609" t="s">
        <v>3382</v>
      </c>
      <c r="C609" t="s">
        <v>2241</v>
      </c>
      <c r="F609" s="2" t="s">
        <v>3383</v>
      </c>
      <c r="L609" t="s">
        <v>24</v>
      </c>
      <c r="M609" t="s">
        <v>25</v>
      </c>
      <c r="O609" t="s">
        <v>26</v>
      </c>
      <c r="P609" t="s">
        <v>3384</v>
      </c>
      <c r="Q609" t="s">
        <v>28</v>
      </c>
      <c r="R609" s="3">
        <v>44582.513680555552</v>
      </c>
      <c r="T609" t="s">
        <v>3385</v>
      </c>
      <c r="U609" t="str">
        <f t="shared" si="36"/>
        <v>["ef8e980b-9644-45d8-b0e9-c6aaf0eff0c0", "4b71eb3d-7d55-4967-b80d-91a3f220b60c", "52abfc2b-031c-4875-b838-653abbfccf4e", "846448a5-a26e-4297-ac08-ad7040af20f1"]</v>
      </c>
      <c r="V609" t="str">
        <f t="shared" si="37"/>
        <v/>
      </c>
      <c r="W609" t="str">
        <f t="shared" si="38"/>
        <v/>
      </c>
      <c r="X609" t="str">
        <f t="shared" si="39"/>
        <v/>
      </c>
    </row>
    <row r="610" spans="1:24" x14ac:dyDescent="0.25">
      <c r="A610" t="s">
        <v>3386</v>
      </c>
      <c r="B610" t="s">
        <v>3387</v>
      </c>
      <c r="C610" t="s">
        <v>3388</v>
      </c>
      <c r="F610" t="s">
        <v>3389</v>
      </c>
      <c r="L610" t="s">
        <v>24</v>
      </c>
      <c r="M610" t="s">
        <v>25</v>
      </c>
      <c r="O610" t="s">
        <v>26</v>
      </c>
      <c r="P610" t="s">
        <v>3390</v>
      </c>
      <c r="Q610" t="s">
        <v>28</v>
      </c>
      <c r="R610" s="3">
        <v>44781.554456018515</v>
      </c>
      <c r="T610" t="s">
        <v>3391</v>
      </c>
      <c r="U610" t="str">
        <f t="shared" si="36"/>
        <v>["2ed52078-7e55-40ea-8036-0d89118a06f4", "7c6e9dbf-487b-4146-a379-19e46642c392", "898afe8c-0297-45d6-b4b5-0cb9e632094b", "146384fc-3f64-4482-a78a-2f082411a27d", "2c54f4d6-5712-4e5a-a025-b7f7a396c39b"]</v>
      </c>
      <c r="V610" t="str">
        <f t="shared" si="37"/>
        <v/>
      </c>
      <c r="W610" t="str">
        <f t="shared" si="38"/>
        <v/>
      </c>
      <c r="X610" t="str">
        <f t="shared" si="39"/>
        <v/>
      </c>
    </row>
    <row r="611" spans="1:24" x14ac:dyDescent="0.25">
      <c r="A611" t="s">
        <v>3392</v>
      </c>
      <c r="B611" t="s">
        <v>3393</v>
      </c>
      <c r="C611" t="s">
        <v>3394</v>
      </c>
      <c r="F611" t="s">
        <v>3395</v>
      </c>
      <c r="L611" t="s">
        <v>24</v>
      </c>
      <c r="M611" t="s">
        <v>25</v>
      </c>
      <c r="O611" t="s">
        <v>26</v>
      </c>
      <c r="P611" t="s">
        <v>3396</v>
      </c>
      <c r="Q611" t="s">
        <v>28</v>
      </c>
      <c r="R611" s="3">
        <v>44622.672743055555</v>
      </c>
      <c r="T611" t="s">
        <v>433</v>
      </c>
      <c r="U611" t="str">
        <f t="shared" si="36"/>
        <v>["2c54f4d6-5712-4e5a-a025-b7f7a396c39b"]</v>
      </c>
      <c r="V611" t="str">
        <f t="shared" si="37"/>
        <v/>
      </c>
      <c r="W611" t="str">
        <f t="shared" si="38"/>
        <v/>
      </c>
      <c r="X611" t="str">
        <f t="shared" si="39"/>
        <v/>
      </c>
    </row>
    <row r="612" spans="1:24" ht="409.5" x14ac:dyDescent="0.25">
      <c r="A612" t="s">
        <v>3397</v>
      </c>
      <c r="B612" t="s">
        <v>3398</v>
      </c>
      <c r="C612" t="s">
        <v>3399</v>
      </c>
      <c r="F612" s="2" t="s">
        <v>3400</v>
      </c>
      <c r="L612" t="s">
        <v>24</v>
      </c>
      <c r="M612" t="s">
        <v>25</v>
      </c>
      <c r="O612" t="s">
        <v>26</v>
      </c>
      <c r="P612" t="s">
        <v>3401</v>
      </c>
      <c r="Q612" t="s">
        <v>28</v>
      </c>
      <c r="R612" s="3">
        <v>44753.612569444442</v>
      </c>
      <c r="T612" t="s">
        <v>3402</v>
      </c>
      <c r="U612" t="str">
        <f t="shared" si="36"/>
        <v>["d3b85461-fc0d-3639-9aa9-39211c4ecade", "f33dc893-bd57-4e5c-a3b0-e32925f4f6b1"]</v>
      </c>
      <c r="V612" t="str">
        <f t="shared" si="37"/>
        <v/>
      </c>
      <c r="W612" t="str">
        <f t="shared" si="38"/>
        <v/>
      </c>
      <c r="X612" t="str">
        <f t="shared" si="39"/>
        <v/>
      </c>
    </row>
    <row r="613" spans="1:24" x14ac:dyDescent="0.25">
      <c r="A613" t="s">
        <v>3403</v>
      </c>
      <c r="B613" t="s">
        <v>3404</v>
      </c>
      <c r="C613" t="s">
        <v>3405</v>
      </c>
      <c r="F613" t="s">
        <v>3406</v>
      </c>
      <c r="L613" t="s">
        <v>24</v>
      </c>
      <c r="M613" t="s">
        <v>25</v>
      </c>
      <c r="O613" t="s">
        <v>26</v>
      </c>
      <c r="P613" t="s">
        <v>3407</v>
      </c>
      <c r="Q613" t="s">
        <v>28</v>
      </c>
      <c r="R613" s="3">
        <v>44721.549861111111</v>
      </c>
      <c r="T613" t="s">
        <v>3225</v>
      </c>
      <c r="U613" t="str">
        <f t="shared" si="36"/>
        <v>["817af5ea-4b9a-4706-8953-9a122be0166b"]</v>
      </c>
      <c r="V613" t="str">
        <f t="shared" si="37"/>
        <v/>
      </c>
      <c r="W613" t="str">
        <f t="shared" si="38"/>
        <v/>
      </c>
      <c r="X613" t="str">
        <f t="shared" si="39"/>
        <v/>
      </c>
    </row>
    <row r="614" spans="1:24" ht="409.5" x14ac:dyDescent="0.25">
      <c r="A614" s="4" t="s">
        <v>3408</v>
      </c>
      <c r="B614" t="s">
        <v>3409</v>
      </c>
      <c r="C614" t="s">
        <v>3410</v>
      </c>
      <c r="F614" s="2" t="s">
        <v>3411</v>
      </c>
      <c r="L614" t="s">
        <v>24</v>
      </c>
      <c r="M614" t="s">
        <v>25</v>
      </c>
      <c r="O614" t="s">
        <v>26</v>
      </c>
      <c r="P614" t="s">
        <v>3412</v>
      </c>
      <c r="Q614" t="s">
        <v>28</v>
      </c>
      <c r="R614" s="3">
        <v>41792.728495370371</v>
      </c>
      <c r="T614" t="s">
        <v>170</v>
      </c>
      <c r="U614" t="str">
        <f t="shared" si="36"/>
        <v>["6858b208-62bc-424e-9d7b-c89b74d3d3e3", "aa8876c7-9711-4969-b428-34400f2d0dbe"]</v>
      </c>
      <c r="V614" t="str">
        <f t="shared" si="37"/>
        <v/>
      </c>
      <c r="W614" t="str">
        <f t="shared" si="38"/>
        <v/>
      </c>
      <c r="X614" t="str">
        <f t="shared" si="39"/>
        <v/>
      </c>
    </row>
    <row r="615" spans="1:24" x14ac:dyDescent="0.25">
      <c r="A615" t="s">
        <v>3413</v>
      </c>
      <c r="B615" t="s">
        <v>3414</v>
      </c>
      <c r="C615" t="s">
        <v>3415</v>
      </c>
      <c r="F615" t="s">
        <v>3416</v>
      </c>
      <c r="L615" t="s">
        <v>24</v>
      </c>
      <c r="M615" t="s">
        <v>25</v>
      </c>
      <c r="O615" t="s">
        <v>26</v>
      </c>
      <c r="P615" t="s">
        <v>3417</v>
      </c>
      <c r="Q615" t="s">
        <v>28</v>
      </c>
      <c r="R615" s="3">
        <v>43747.35365740741</v>
      </c>
      <c r="T615" t="s">
        <v>3418</v>
      </c>
      <c r="U615" t="str">
        <f t="shared" si="36"/>
        <v>["8becadda-124e-43f3-900e-f1ab685574e5", "6d731e6e-7dcf-4bde-8061-d0e195f62f6c"]</v>
      </c>
      <c r="V615" t="str">
        <f t="shared" si="37"/>
        <v/>
      </c>
      <c r="W615" t="str">
        <f t="shared" si="38"/>
        <v/>
      </c>
      <c r="X615" t="str">
        <f t="shared" si="39"/>
        <v/>
      </c>
    </row>
    <row r="616" spans="1:24" ht="409.5" x14ac:dyDescent="0.25">
      <c r="A616" t="s">
        <v>3419</v>
      </c>
      <c r="B616" t="s">
        <v>3420</v>
      </c>
      <c r="C616" t="s">
        <v>3420</v>
      </c>
      <c r="F616" s="2" t="s">
        <v>3421</v>
      </c>
      <c r="L616" t="s">
        <v>24</v>
      </c>
      <c r="M616" t="s">
        <v>25</v>
      </c>
      <c r="O616" t="s">
        <v>26</v>
      </c>
      <c r="P616" t="s">
        <v>3422</v>
      </c>
      <c r="Q616" t="s">
        <v>28</v>
      </c>
      <c r="R616" s="3">
        <v>43902.46125</v>
      </c>
      <c r="T616" t="s">
        <v>3423</v>
      </c>
      <c r="U616" t="str">
        <f t="shared" si="36"/>
        <v>["703fce40-6116-4836-aca4-7dddc33912ab"]</v>
      </c>
      <c r="V616" t="str">
        <f t="shared" si="37"/>
        <v/>
      </c>
      <c r="W616" t="str">
        <f t="shared" si="38"/>
        <v/>
      </c>
      <c r="X616" t="str">
        <f t="shared" si="39"/>
        <v/>
      </c>
    </row>
    <row r="617" spans="1:24" ht="409.5" x14ac:dyDescent="0.25">
      <c r="A617" t="s">
        <v>3424</v>
      </c>
      <c r="B617" t="s">
        <v>3425</v>
      </c>
      <c r="C617" t="s">
        <v>3426</v>
      </c>
      <c r="F617" s="2" t="s">
        <v>3427</v>
      </c>
      <c r="L617" t="s">
        <v>24</v>
      </c>
      <c r="M617" t="s">
        <v>25</v>
      </c>
      <c r="O617" t="s">
        <v>26</v>
      </c>
      <c r="P617" t="s">
        <v>3428</v>
      </c>
      <c r="Q617" t="s">
        <v>28</v>
      </c>
      <c r="R617" s="3">
        <v>43937.367962962962</v>
      </c>
      <c r="T617" t="s">
        <v>1404</v>
      </c>
      <c r="U617" t="str">
        <f t="shared" si="36"/>
        <v>["d88a1246-9684-480b-a480-ff63286b35b7"]</v>
      </c>
      <c r="V617" t="str">
        <f t="shared" si="37"/>
        <v/>
      </c>
      <c r="W617" t="str">
        <f t="shared" si="38"/>
        <v/>
      </c>
      <c r="X617" t="str">
        <f t="shared" si="39"/>
        <v/>
      </c>
    </row>
    <row r="618" spans="1:24" x14ac:dyDescent="0.25">
      <c r="A618" t="s">
        <v>3429</v>
      </c>
      <c r="B618" t="s">
        <v>3430</v>
      </c>
      <c r="C618" t="s">
        <v>3431</v>
      </c>
      <c r="F618" t="s">
        <v>3432</v>
      </c>
      <c r="L618" t="s">
        <v>24</v>
      </c>
      <c r="M618" t="s">
        <v>25</v>
      </c>
      <c r="O618" t="s">
        <v>26</v>
      </c>
      <c r="P618" t="s">
        <v>3433</v>
      </c>
      <c r="Q618" t="s">
        <v>28</v>
      </c>
      <c r="R618" s="3">
        <v>44963.646562499998</v>
      </c>
      <c r="T618" t="s">
        <v>3434</v>
      </c>
      <c r="U618" t="str">
        <f t="shared" si="36"/>
        <v>["285022f8-59c5-4462-9417-c35f350a52d4", "5d5214cc-9667-4132-8f23-9b0cf842cee6"]</v>
      </c>
      <c r="V618" t="str">
        <f t="shared" si="37"/>
        <v/>
      </c>
      <c r="W618" t="str">
        <f t="shared" si="38"/>
        <v/>
      </c>
      <c r="X618" t="str">
        <f t="shared" si="39"/>
        <v/>
      </c>
    </row>
    <row r="619" spans="1:24" ht="409.5" x14ac:dyDescent="0.25">
      <c r="A619" t="s">
        <v>3435</v>
      </c>
      <c r="B619" t="s">
        <v>3436</v>
      </c>
      <c r="C619" t="s">
        <v>3437</v>
      </c>
      <c r="F619" s="2" t="s">
        <v>3438</v>
      </c>
      <c r="L619" t="s">
        <v>24</v>
      </c>
      <c r="M619" t="s">
        <v>25</v>
      </c>
      <c r="O619" t="s">
        <v>26</v>
      </c>
      <c r="P619" t="s">
        <v>3439</v>
      </c>
      <c r="Q619" t="s">
        <v>28</v>
      </c>
      <c r="R619" s="3">
        <v>45090.692939814813</v>
      </c>
      <c r="T619" t="s">
        <v>3440</v>
      </c>
      <c r="U619" t="str">
        <f t="shared" si="36"/>
        <v>["43839325-6125-4d5e-9fd7-d3e6ed6a2401", "bcba4f91-27b7-4950-90a7-cecee4617a8b", "86d88cae-ad97-4476-bae5-73488a12776d", "214a3e63-31aa-47de-a49c-5ea5a80330ed", "2aada6af-9aaa-42ae-98f2-8d974b278280", "25b694ad-802b-4f64-bcbc-09897b0dcbf7", "bb86970f-3cef-4f9a-a79b-ff277ea925c8"]</v>
      </c>
      <c r="V619" t="str">
        <f t="shared" si="37"/>
        <v/>
      </c>
      <c r="W619" t="str">
        <f t="shared" si="38"/>
        <v/>
      </c>
      <c r="X619" t="str">
        <f t="shared" si="39"/>
        <v/>
      </c>
    </row>
    <row r="620" spans="1:24" x14ac:dyDescent="0.25">
      <c r="A620" t="s">
        <v>3441</v>
      </c>
      <c r="B620" t="s">
        <v>3442</v>
      </c>
      <c r="C620" t="s">
        <v>3443</v>
      </c>
      <c r="F620" t="s">
        <v>3444</v>
      </c>
      <c r="L620" t="s">
        <v>24</v>
      </c>
      <c r="M620" t="s">
        <v>25</v>
      </c>
      <c r="O620" t="s">
        <v>26</v>
      </c>
      <c r="P620" t="s">
        <v>3445</v>
      </c>
      <c r="Q620" t="s">
        <v>28</v>
      </c>
      <c r="R620" s="3">
        <v>45188.39162037037</v>
      </c>
      <c r="T620" t="s">
        <v>433</v>
      </c>
      <c r="U620" t="str">
        <f t="shared" si="36"/>
        <v>["2c54f4d6-5712-4e5a-a025-b7f7a396c39b"]</v>
      </c>
      <c r="V620" t="str">
        <f t="shared" si="37"/>
        <v/>
      </c>
      <c r="W620" t="str">
        <f t="shared" si="38"/>
        <v/>
      </c>
      <c r="X620" t="str">
        <f t="shared" si="39"/>
        <v/>
      </c>
    </row>
    <row r="621" spans="1:24" ht="409.5" x14ac:dyDescent="0.25">
      <c r="A621" t="s">
        <v>3446</v>
      </c>
      <c r="B621" t="s">
        <v>3447</v>
      </c>
      <c r="C621" t="s">
        <v>3448</v>
      </c>
      <c r="F621" s="2" t="s">
        <v>3449</v>
      </c>
      <c r="L621" t="s">
        <v>24</v>
      </c>
      <c r="M621" t="s">
        <v>25</v>
      </c>
      <c r="O621" t="s">
        <v>26</v>
      </c>
      <c r="P621" t="s">
        <v>3450</v>
      </c>
      <c r="Q621" t="s">
        <v>28</v>
      </c>
      <c r="R621" s="3">
        <v>44973.606481481482</v>
      </c>
      <c r="T621" t="s">
        <v>1340</v>
      </c>
      <c r="U621" t="str">
        <f t="shared" si="36"/>
        <v>["0fb9ae1a-92cb-4ab8-a589-470c16d4fe21"]</v>
      </c>
      <c r="V621" t="str">
        <f t="shared" si="37"/>
        <v/>
      </c>
      <c r="W621" t="str">
        <f t="shared" si="38"/>
        <v/>
      </c>
      <c r="X621" t="str">
        <f t="shared" si="39"/>
        <v/>
      </c>
    </row>
    <row r="622" spans="1:24" ht="409.5" x14ac:dyDescent="0.25">
      <c r="A622" t="s">
        <v>3451</v>
      </c>
      <c r="B622" t="s">
        <v>3452</v>
      </c>
      <c r="C622" t="s">
        <v>3453</v>
      </c>
      <c r="F622" s="2" t="s">
        <v>3454</v>
      </c>
      <c r="L622" t="s">
        <v>24</v>
      </c>
      <c r="M622" t="s">
        <v>25</v>
      </c>
      <c r="O622" t="s">
        <v>26</v>
      </c>
      <c r="P622" t="s">
        <v>3455</v>
      </c>
      <c r="Q622" t="s">
        <v>28</v>
      </c>
      <c r="R622" s="3">
        <v>45033.661377314813</v>
      </c>
      <c r="T622" t="s">
        <v>3456</v>
      </c>
      <c r="U622" t="str">
        <f t="shared" si="36"/>
        <v>["9586a616-48e4-46c8-b418-1432f2515407", "2c54f4d6-5712-4e5a-a025-b7f7a396c39b"]</v>
      </c>
      <c r="V622" t="str">
        <f t="shared" si="37"/>
        <v/>
      </c>
      <c r="W622" t="str">
        <f t="shared" si="38"/>
        <v/>
      </c>
      <c r="X622" t="str">
        <f t="shared" si="39"/>
        <v/>
      </c>
    </row>
    <row r="623" spans="1:24" ht="409.5" x14ac:dyDescent="0.25">
      <c r="A623" t="s">
        <v>3457</v>
      </c>
      <c r="B623" t="s">
        <v>3458</v>
      </c>
      <c r="C623" t="s">
        <v>3459</v>
      </c>
      <c r="F623" s="2" t="s">
        <v>3460</v>
      </c>
      <c r="L623" t="s">
        <v>24</v>
      </c>
      <c r="M623" t="s">
        <v>25</v>
      </c>
      <c r="O623" t="s">
        <v>26</v>
      </c>
      <c r="P623" t="s">
        <v>3461</v>
      </c>
      <c r="Q623" t="s">
        <v>28</v>
      </c>
      <c r="R623" s="3">
        <v>43984.576319444444</v>
      </c>
      <c r="T623" t="s">
        <v>3462</v>
      </c>
      <c r="U623" t="str">
        <f t="shared" si="36"/>
        <v>["45d684ca-6ad7-4c5e-a721-64aa31795824", "b01585af-110f-4f87-9bf1-06805605926c"]</v>
      </c>
      <c r="V623" t="str">
        <f t="shared" si="37"/>
        <v/>
      </c>
      <c r="W623" t="str">
        <f t="shared" si="38"/>
        <v/>
      </c>
      <c r="X623" t="str">
        <f t="shared" si="39"/>
        <v/>
      </c>
    </row>
    <row r="624" spans="1:24" ht="409.5" x14ac:dyDescent="0.25">
      <c r="A624" t="s">
        <v>3463</v>
      </c>
      <c r="B624" t="s">
        <v>3464</v>
      </c>
      <c r="C624" t="s">
        <v>3465</v>
      </c>
      <c r="F624" s="2" t="s">
        <v>3466</v>
      </c>
      <c r="L624" t="s">
        <v>24</v>
      </c>
      <c r="M624" t="s">
        <v>25</v>
      </c>
      <c r="O624" t="s">
        <v>26</v>
      </c>
      <c r="P624" t="s">
        <v>3467</v>
      </c>
      <c r="Q624" t="s">
        <v>28</v>
      </c>
      <c r="R624" s="3">
        <v>43990.436666666668</v>
      </c>
      <c r="T624" t="s">
        <v>674</v>
      </c>
      <c r="U624" t="str">
        <f t="shared" si="36"/>
        <v>["522d3045-0b37-48d0-b868-57c99726b1c4"]</v>
      </c>
      <c r="V624" t="str">
        <f t="shared" si="37"/>
        <v/>
      </c>
      <c r="W624" t="str">
        <f t="shared" si="38"/>
        <v/>
      </c>
      <c r="X624" t="str">
        <f t="shared" si="39"/>
        <v/>
      </c>
    </row>
    <row r="625" spans="1:24" x14ac:dyDescent="0.25">
      <c r="A625" t="s">
        <v>3468</v>
      </c>
      <c r="B625" t="s">
        <v>3469</v>
      </c>
      <c r="C625" t="s">
        <v>3470</v>
      </c>
      <c r="F625" t="s">
        <v>3471</v>
      </c>
      <c r="L625" t="s">
        <v>24</v>
      </c>
      <c r="M625" t="s">
        <v>25</v>
      </c>
      <c r="O625" t="s">
        <v>26</v>
      </c>
      <c r="P625" t="s">
        <v>3472</v>
      </c>
      <c r="Q625" t="s">
        <v>28</v>
      </c>
      <c r="R625" s="3">
        <v>45051.681631944448</v>
      </c>
      <c r="T625" t="s">
        <v>3473</v>
      </c>
      <c r="U625" t="str">
        <f t="shared" si="36"/>
        <v>["336bbdae-a29d-47c5-8c0d-f51affffd44f"]</v>
      </c>
      <c r="V625" t="str">
        <f t="shared" si="37"/>
        <v/>
      </c>
      <c r="W625" t="str">
        <f t="shared" si="38"/>
        <v/>
      </c>
      <c r="X625" t="str">
        <f t="shared" si="39"/>
        <v/>
      </c>
    </row>
    <row r="626" spans="1:24" ht="409.5" x14ac:dyDescent="0.25">
      <c r="A626" t="s">
        <v>3474</v>
      </c>
      <c r="B626" t="s">
        <v>3475</v>
      </c>
      <c r="C626" t="s">
        <v>3476</v>
      </c>
      <c r="F626" s="2" t="s">
        <v>3477</v>
      </c>
      <c r="L626" t="s">
        <v>24</v>
      </c>
      <c r="M626" t="s">
        <v>25</v>
      </c>
      <c r="O626" t="s">
        <v>26</v>
      </c>
      <c r="P626" t="s">
        <v>3478</v>
      </c>
      <c r="Q626" t="s">
        <v>28</v>
      </c>
      <c r="R626" s="3">
        <v>45372.595046296294</v>
      </c>
      <c r="T626" t="s">
        <v>674</v>
      </c>
      <c r="U626" t="str">
        <f t="shared" si="36"/>
        <v>["522d3045-0b37-48d0-b868-57c99726b1c4"]</v>
      </c>
      <c r="V626" t="str">
        <f t="shared" si="37"/>
        <v/>
      </c>
      <c r="W626" t="str">
        <f t="shared" si="38"/>
        <v/>
      </c>
      <c r="X626" t="str">
        <f t="shared" si="39"/>
        <v/>
      </c>
    </row>
    <row r="627" spans="1:24" x14ac:dyDescent="0.25">
      <c r="A627" t="s">
        <v>3479</v>
      </c>
      <c r="B627" t="s">
        <v>3480</v>
      </c>
      <c r="C627" t="s">
        <v>3481</v>
      </c>
      <c r="F627" t="s">
        <v>3482</v>
      </c>
      <c r="L627" t="s">
        <v>24</v>
      </c>
      <c r="M627" t="s">
        <v>25</v>
      </c>
      <c r="O627" t="s">
        <v>26</v>
      </c>
      <c r="P627" t="s">
        <v>3483</v>
      </c>
      <c r="Q627" t="s">
        <v>28</v>
      </c>
      <c r="R627" s="3">
        <v>45147.527326388888</v>
      </c>
      <c r="T627" t="s">
        <v>674</v>
      </c>
      <c r="U627" t="str">
        <f t="shared" si="36"/>
        <v>["522d3045-0b37-48d0-b868-57c99726b1c4"]</v>
      </c>
      <c r="V627" t="str">
        <f t="shared" si="37"/>
        <v/>
      </c>
      <c r="W627" t="str">
        <f t="shared" si="38"/>
        <v/>
      </c>
      <c r="X627" t="str">
        <f t="shared" si="39"/>
        <v/>
      </c>
    </row>
    <row r="628" spans="1:24" x14ac:dyDescent="0.25">
      <c r="A628" t="s">
        <v>3484</v>
      </c>
      <c r="B628" t="s">
        <v>3485</v>
      </c>
      <c r="C628" t="s">
        <v>3486</v>
      </c>
      <c r="F628" t="s">
        <v>3487</v>
      </c>
      <c r="L628" t="s">
        <v>24</v>
      </c>
      <c r="M628" t="s">
        <v>25</v>
      </c>
      <c r="O628" t="s">
        <v>26</v>
      </c>
      <c r="P628" t="s">
        <v>3488</v>
      </c>
      <c r="Q628" t="s">
        <v>28</v>
      </c>
      <c r="R628" s="3">
        <v>45275.544664351852</v>
      </c>
      <c r="T628" t="s">
        <v>3489</v>
      </c>
      <c r="U628" t="str">
        <f t="shared" si="36"/>
        <v>["bad388c1-e13f-484d-ba51-331a79537f5f"]</v>
      </c>
      <c r="V628" t="str">
        <f t="shared" si="37"/>
        <v/>
      </c>
      <c r="W628" t="str">
        <f t="shared" si="38"/>
        <v/>
      </c>
      <c r="X628" t="str">
        <f t="shared" si="39"/>
        <v/>
      </c>
    </row>
    <row r="629" spans="1:24" x14ac:dyDescent="0.25">
      <c r="A629" t="s">
        <v>3490</v>
      </c>
      <c r="B629" t="s">
        <v>3491</v>
      </c>
      <c r="C629" t="s">
        <v>3492</v>
      </c>
      <c r="F629" t="s">
        <v>3493</v>
      </c>
      <c r="L629" t="s">
        <v>24</v>
      </c>
      <c r="M629" t="s">
        <v>25</v>
      </c>
      <c r="O629" t="s">
        <v>26</v>
      </c>
      <c r="P629" t="s">
        <v>3494</v>
      </c>
      <c r="Q629" t="s">
        <v>28</v>
      </c>
      <c r="R629" s="3">
        <v>45208.477280092593</v>
      </c>
      <c r="T629" t="s">
        <v>2434</v>
      </c>
      <c r="U629" t="str">
        <f t="shared" si="36"/>
        <v>["405a0d29-0a62-45a7-a4d4-56c28e3255ab"]</v>
      </c>
      <c r="V629" t="str">
        <f t="shared" si="37"/>
        <v/>
      </c>
      <c r="W629" t="str">
        <f t="shared" si="38"/>
        <v/>
      </c>
      <c r="X629" t="str">
        <f t="shared" si="39"/>
        <v/>
      </c>
    </row>
    <row r="630" spans="1:24" ht="409.5" x14ac:dyDescent="0.25">
      <c r="A630" t="s">
        <v>3495</v>
      </c>
      <c r="B630" t="s">
        <v>3496</v>
      </c>
      <c r="C630" t="s">
        <v>3497</v>
      </c>
      <c r="F630" s="2" t="s">
        <v>3498</v>
      </c>
      <c r="L630" t="s">
        <v>24</v>
      </c>
      <c r="M630" t="s">
        <v>25</v>
      </c>
      <c r="O630" t="s">
        <v>26</v>
      </c>
      <c r="P630" t="s">
        <v>3499</v>
      </c>
      <c r="Q630" t="s">
        <v>28</v>
      </c>
      <c r="R630" s="3">
        <v>45250.659953703704</v>
      </c>
      <c r="T630" t="s">
        <v>3500</v>
      </c>
      <c r="U630" t="str">
        <f t="shared" si="36"/>
        <v>["1d5c2411-9719-4c8f-b99d-57a5f4a4ae41", "7cf0da04-1f77-4321-929e-78172c74aa0b", "7a8aae59-71a4-4500-b38b-bdf15c7f627f", "38aac30b-6b79-4fee-88f0-a37b2e6c0f92", "4b2261f6-d431-4e3a-9537-56a670ac80b9", "bcba4f91-27b7-4950-90a7-cecee4617a8b", "eab5ce18-827f-44a8-a206-e56f772dfa8b", "2f5baa1f-208c-42c2-8d04-9ea74aa1b229", "02ad6e25-2698-405f-a37b-99745b1ac69c", "845a19d8-b6d7-430d-8ff3-a1e499c9ac5e", "35102370-ad3b-41e5-a5c3-567750be2711", "cef007c8-5836-47a4-b45a-60eb587db17e", "214a3e63-31aa-47de-a49c-5ea5a80330ed", "87282445-a02d-4f7f-9bf6-196d73d9b3a9", "a5987f3c-3131-4e6e-b91c-fe0756e69926", "c307f89d-b01a-4da2-9f9e-cf3fd2dd651e"]</v>
      </c>
      <c r="V630" t="str">
        <f t="shared" si="37"/>
        <v/>
      </c>
      <c r="W630" t="str">
        <f t="shared" si="38"/>
        <v/>
      </c>
      <c r="X630" t="str">
        <f t="shared" si="39"/>
        <v/>
      </c>
    </row>
    <row r="631" spans="1:24" ht="409.5" x14ac:dyDescent="0.25">
      <c r="A631" t="s">
        <v>3501</v>
      </c>
      <c r="B631" t="s">
        <v>3502</v>
      </c>
      <c r="C631" t="s">
        <v>3503</v>
      </c>
      <c r="F631" s="2" t="s">
        <v>3504</v>
      </c>
      <c r="L631" t="s">
        <v>24</v>
      </c>
      <c r="M631" t="s">
        <v>25</v>
      </c>
      <c r="O631" t="s">
        <v>26</v>
      </c>
      <c r="P631" t="s">
        <v>3505</v>
      </c>
      <c r="Q631" t="s">
        <v>28</v>
      </c>
      <c r="R631" s="3">
        <v>41971.552303240744</v>
      </c>
      <c r="T631" t="s">
        <v>3506</v>
      </c>
      <c r="U631" t="str">
        <f t="shared" si="36"/>
        <v>["45d684ca-6ad7-4c5e-a721-64aa31795824", "3ff63cf5-8d04-4be5-9449-96411ae9fc36", "6f412521-2e9b-44b1-a3e4-8f1358caef63", "16c7fa5b-e2ac-4558-b76c-506766d3949d", "523ba2e4-8c55-4dde-8acf-39e3621811b0", "72fbf32e-c8c3-4914-92a1-66dc2439a114", "146384fc-3f64-4482-a78a-2f082411a27d"]</v>
      </c>
      <c r="V631" t="str">
        <f t="shared" si="37"/>
        <v/>
      </c>
      <c r="W631" t="str">
        <f t="shared" si="38"/>
        <v/>
      </c>
      <c r="X631" t="str">
        <f t="shared" si="39"/>
        <v/>
      </c>
    </row>
    <row r="632" spans="1:24" ht="409.5" x14ac:dyDescent="0.25">
      <c r="A632" t="s">
        <v>3507</v>
      </c>
      <c r="B632" t="s">
        <v>3508</v>
      </c>
      <c r="C632" t="s">
        <v>3509</v>
      </c>
      <c r="F632" s="2" t="s">
        <v>3510</v>
      </c>
      <c r="L632" t="s">
        <v>24</v>
      </c>
      <c r="M632" t="s">
        <v>25</v>
      </c>
      <c r="O632" t="s">
        <v>26</v>
      </c>
      <c r="P632" t="s">
        <v>3511</v>
      </c>
      <c r="Q632" t="s">
        <v>28</v>
      </c>
      <c r="R632" s="3">
        <v>43734.359560185185</v>
      </c>
      <c r="T632" t="s">
        <v>3512</v>
      </c>
      <c r="U632" t="str">
        <f t="shared" si="36"/>
        <v>["146384fc-3f64-4482-a78a-2f082411a27d", "2c54f4d6-5712-4e5a-a025-b7f7a396c39b"]</v>
      </c>
      <c r="V632" t="str">
        <f t="shared" si="37"/>
        <v/>
      </c>
      <c r="W632" t="str">
        <f t="shared" si="38"/>
        <v/>
      </c>
      <c r="X632" t="str">
        <f t="shared" si="39"/>
        <v/>
      </c>
    </row>
    <row r="633" spans="1:24" ht="409.5" x14ac:dyDescent="0.25">
      <c r="A633" t="s">
        <v>3513</v>
      </c>
      <c r="B633" t="s">
        <v>3514</v>
      </c>
      <c r="C633" t="s">
        <v>3515</v>
      </c>
      <c r="F633" s="2" t="s">
        <v>3516</v>
      </c>
      <c r="L633" t="s">
        <v>24</v>
      </c>
      <c r="M633" t="s">
        <v>25</v>
      </c>
      <c r="O633" t="s">
        <v>26</v>
      </c>
      <c r="P633" t="s">
        <v>3517</v>
      </c>
      <c r="Q633" t="s">
        <v>28</v>
      </c>
      <c r="R633" s="3">
        <v>45289.648900462962</v>
      </c>
      <c r="T633" t="s">
        <v>3518</v>
      </c>
      <c r="U633" t="str">
        <f t="shared" si="36"/>
        <v>["e2e7100e-7094-48cf-9d6d-146a52c8dd8b", "9a78b016-2cb4-4be3-aecd-60ff99b4f356", "b04b81d6-eba4-4ec3-b35d-130df9fd716b"]</v>
      </c>
      <c r="V633" t="str">
        <f t="shared" si="37"/>
        <v/>
      </c>
      <c r="W633" t="str">
        <f t="shared" si="38"/>
        <v/>
      </c>
      <c r="X633" t="str">
        <f t="shared" si="39"/>
        <v/>
      </c>
    </row>
    <row r="634" spans="1:24" ht="409.5" x14ac:dyDescent="0.25">
      <c r="A634" t="s">
        <v>3519</v>
      </c>
      <c r="B634" t="s">
        <v>3520</v>
      </c>
      <c r="C634" t="s">
        <v>3521</v>
      </c>
      <c r="F634" s="2" t="s">
        <v>3522</v>
      </c>
      <c r="L634" t="s">
        <v>24</v>
      </c>
      <c r="M634" t="s">
        <v>25</v>
      </c>
      <c r="O634" t="s">
        <v>26</v>
      </c>
      <c r="P634" t="s">
        <v>3523</v>
      </c>
      <c r="Q634" t="s">
        <v>28</v>
      </c>
      <c r="R634" s="3">
        <v>42776.45040509259</v>
      </c>
      <c r="T634" t="s">
        <v>3524</v>
      </c>
      <c r="U634" t="str">
        <f t="shared" si="36"/>
        <v>["28c9e877-36e7-4ced-896e-6bead8f9e190", "e527be89-5193-43b2-8388-1f7feee2f8fd", "294de677-b02d-4a74-b189-cc04fa820d96"]</v>
      </c>
      <c r="V634" t="str">
        <f t="shared" si="37"/>
        <v/>
      </c>
      <c r="W634" t="str">
        <f t="shared" si="38"/>
        <v/>
      </c>
      <c r="X634" t="str">
        <f t="shared" si="39"/>
        <v/>
      </c>
    </row>
    <row r="635" spans="1:24" x14ac:dyDescent="0.25">
      <c r="A635" t="s">
        <v>3525</v>
      </c>
      <c r="B635" t="s">
        <v>3526</v>
      </c>
      <c r="C635" t="s">
        <v>3527</v>
      </c>
      <c r="F635" t="s">
        <v>3528</v>
      </c>
      <c r="L635" t="s">
        <v>24</v>
      </c>
      <c r="M635" t="s">
        <v>25</v>
      </c>
      <c r="O635" t="s">
        <v>26</v>
      </c>
      <c r="P635" t="s">
        <v>3529</v>
      </c>
      <c r="Q635" t="s">
        <v>28</v>
      </c>
      <c r="R635" s="3">
        <v>41777.581354166665</v>
      </c>
      <c r="T635" t="s">
        <v>3530</v>
      </c>
      <c r="U635" t="str">
        <f t="shared" si="36"/>
        <v>["8ab79cf0-3549-11e2-81c1-0800200c9a66", "df8824f0-3555-11e2-81c1-0800200c9a66"]</v>
      </c>
      <c r="V635" t="str">
        <f t="shared" si="37"/>
        <v/>
      </c>
      <c r="W635" t="str">
        <f t="shared" si="38"/>
        <v/>
      </c>
      <c r="X635" t="str">
        <f t="shared" si="39"/>
        <v/>
      </c>
    </row>
    <row r="636" spans="1:24" x14ac:dyDescent="0.25">
      <c r="A636" t="s">
        <v>3531</v>
      </c>
      <c r="B636" t="s">
        <v>3532</v>
      </c>
      <c r="C636" t="s">
        <v>3533</v>
      </c>
      <c r="F636" t="s">
        <v>3534</v>
      </c>
      <c r="L636" t="s">
        <v>24</v>
      </c>
      <c r="M636" t="s">
        <v>25</v>
      </c>
      <c r="O636" t="s">
        <v>26</v>
      </c>
      <c r="P636" t="s">
        <v>3535</v>
      </c>
      <c r="Q636" t="s">
        <v>28</v>
      </c>
      <c r="R636" s="3">
        <v>42780.45171296296</v>
      </c>
      <c r="T636" t="s">
        <v>3536</v>
      </c>
      <c r="U636" t="str">
        <f t="shared" si="36"/>
        <v>["58a2e0c0-1cf9-11e2-892e-0800200c9a66"]</v>
      </c>
      <c r="V636" t="str">
        <f t="shared" si="37"/>
        <v/>
      </c>
      <c r="W636" t="str">
        <f t="shared" si="38"/>
        <v/>
      </c>
      <c r="X636" t="str">
        <f t="shared" si="39"/>
        <v/>
      </c>
    </row>
    <row r="637" spans="1:24" ht="409.5" x14ac:dyDescent="0.25">
      <c r="A637" t="s">
        <v>3537</v>
      </c>
      <c r="B637" t="s">
        <v>3538</v>
      </c>
      <c r="C637" t="s">
        <v>3539</v>
      </c>
      <c r="F637" s="2" t="s">
        <v>3540</v>
      </c>
      <c r="L637" t="s">
        <v>24</v>
      </c>
      <c r="M637" t="s">
        <v>25</v>
      </c>
      <c r="O637" t="s">
        <v>26</v>
      </c>
      <c r="P637" t="s">
        <v>3541</v>
      </c>
      <c r="Q637" t="s">
        <v>28</v>
      </c>
      <c r="R637" s="3">
        <v>41330.581076388888</v>
      </c>
      <c r="T637" t="s">
        <v>3542</v>
      </c>
      <c r="U637" t="str">
        <f t="shared" si="36"/>
        <v>["4315e096-f51e-4b56-8235-57be9789a62c", "aac2629e-495d-4468-9c8b-cd9649bd7b5d"]</v>
      </c>
      <c r="V637" t="str">
        <f t="shared" si="37"/>
        <v/>
      </c>
      <c r="W637" t="str">
        <f t="shared" si="38"/>
        <v/>
      </c>
      <c r="X637" t="str">
        <f t="shared" si="39"/>
        <v/>
      </c>
    </row>
    <row r="638" spans="1:24" x14ac:dyDescent="0.25">
      <c r="A638" t="s">
        <v>3543</v>
      </c>
      <c r="B638" t="s">
        <v>3544</v>
      </c>
      <c r="C638" t="s">
        <v>3545</v>
      </c>
      <c r="F638" t="s">
        <v>3546</v>
      </c>
      <c r="L638" t="s">
        <v>24</v>
      </c>
      <c r="M638" t="s">
        <v>25</v>
      </c>
      <c r="O638" t="s">
        <v>26</v>
      </c>
      <c r="P638" t="s">
        <v>3547</v>
      </c>
      <c r="Q638" t="s">
        <v>28</v>
      </c>
      <c r="R638" s="3">
        <v>43578.697245370371</v>
      </c>
      <c r="T638" t="s">
        <v>3548</v>
      </c>
      <c r="U638" t="str">
        <f t="shared" si="36"/>
        <v>["31416a3d-5a44-4f78-8b2c-765a2738aacc", "da54b586-c25d-44b8-a786-c1d31e4b5cb2", "2c54f4d6-5712-4e5a-a025-b7f7a396c39b"]</v>
      </c>
      <c r="V638" t="str">
        <f t="shared" si="37"/>
        <v/>
      </c>
      <c r="W638" t="str">
        <f t="shared" si="38"/>
        <v/>
      </c>
      <c r="X638" t="str">
        <f t="shared" si="39"/>
        <v/>
      </c>
    </row>
    <row r="639" spans="1:24" x14ac:dyDescent="0.25">
      <c r="A639" t="s">
        <v>3549</v>
      </c>
      <c r="B639" t="s">
        <v>3550</v>
      </c>
      <c r="C639" t="s">
        <v>3533</v>
      </c>
      <c r="F639" t="s">
        <v>3551</v>
      </c>
      <c r="L639" t="s">
        <v>24</v>
      </c>
      <c r="M639" t="s">
        <v>25</v>
      </c>
      <c r="O639" t="s">
        <v>26</v>
      </c>
      <c r="P639" t="s">
        <v>3552</v>
      </c>
      <c r="Q639" t="s">
        <v>28</v>
      </c>
      <c r="R639" s="3">
        <v>43787.535879629628</v>
      </c>
      <c r="T639" t="s">
        <v>3536</v>
      </c>
      <c r="U639" t="str">
        <f t="shared" si="36"/>
        <v>["58a2e0c0-1cf9-11e2-892e-0800200c9a66"]</v>
      </c>
      <c r="V639" t="str">
        <f t="shared" si="37"/>
        <v/>
      </c>
      <c r="W639" t="str">
        <f t="shared" si="38"/>
        <v/>
      </c>
      <c r="X639" t="str">
        <f t="shared" si="39"/>
        <v/>
      </c>
    </row>
    <row r="640" spans="1:24" x14ac:dyDescent="0.25">
      <c r="A640" t="s">
        <v>3553</v>
      </c>
      <c r="B640" t="s">
        <v>3554</v>
      </c>
      <c r="C640" t="s">
        <v>3555</v>
      </c>
      <c r="F640" t="s">
        <v>3556</v>
      </c>
      <c r="L640" t="s">
        <v>24</v>
      </c>
      <c r="M640" t="s">
        <v>25</v>
      </c>
      <c r="O640" t="s">
        <v>26</v>
      </c>
      <c r="P640" t="s">
        <v>3557</v>
      </c>
      <c r="Q640" t="s">
        <v>28</v>
      </c>
      <c r="R640" s="3">
        <v>43987.324317129627</v>
      </c>
      <c r="T640" t="s">
        <v>3558</v>
      </c>
      <c r="U640" t="str">
        <f t="shared" si="36"/>
        <v>["359c515c-4320-42ef-b4e5-88ba1bb03c2e"]</v>
      </c>
      <c r="V640" t="str">
        <f t="shared" si="37"/>
        <v/>
      </c>
      <c r="W640" t="str">
        <f t="shared" si="38"/>
        <v/>
      </c>
      <c r="X640" t="str">
        <f t="shared" si="39"/>
        <v/>
      </c>
    </row>
    <row r="641" spans="1:24" x14ac:dyDescent="0.25">
      <c r="A641" t="s">
        <v>3559</v>
      </c>
      <c r="B641" t="s">
        <v>3560</v>
      </c>
      <c r="C641" t="s">
        <v>3561</v>
      </c>
      <c r="F641" t="s">
        <v>3562</v>
      </c>
      <c r="L641" t="s">
        <v>24</v>
      </c>
      <c r="M641" t="s">
        <v>25</v>
      </c>
      <c r="O641" t="s">
        <v>26</v>
      </c>
      <c r="P641" t="s">
        <v>3563</v>
      </c>
      <c r="Q641" t="s">
        <v>28</v>
      </c>
      <c r="R641" s="3">
        <v>44264.66302083333</v>
      </c>
      <c r="T641" t="s">
        <v>3564</v>
      </c>
      <c r="U641" t="str">
        <f t="shared" si="36"/>
        <v>["f1f6f15d-2faa-4b62-b78b-80599dd1c66e", "4e5c9414-2886-462e-b19f-a598ad065522", "4f677177-23bc-4f0a-8dbf-578762c8d976", "b0408646-3c6a-490e-aee4-b61a1824f9b8", "a000f9a9-e053-4b27-8836-239181d0a3a5", "e7065317-1d57-434a-8428-efa263ecc526", "5ea10ba1-3577-407a-893b-175247a9bf4a", "573060f0-80c8-4141-b355-80ebd94ef87a"]</v>
      </c>
      <c r="V641" t="str">
        <f t="shared" si="37"/>
        <v/>
      </c>
      <c r="W641" t="str">
        <f t="shared" si="38"/>
        <v/>
      </c>
      <c r="X641" t="str">
        <f t="shared" si="39"/>
        <v/>
      </c>
    </row>
    <row r="642" spans="1:24" ht="409.5" x14ac:dyDescent="0.25">
      <c r="A642" t="s">
        <v>3565</v>
      </c>
      <c r="B642" t="s">
        <v>3566</v>
      </c>
      <c r="C642" t="s">
        <v>3567</v>
      </c>
      <c r="F642" s="2" t="s">
        <v>3568</v>
      </c>
      <c r="L642" t="s">
        <v>24</v>
      </c>
      <c r="M642" t="s">
        <v>25</v>
      </c>
      <c r="O642" t="s">
        <v>26</v>
      </c>
      <c r="P642" t="s">
        <v>3569</v>
      </c>
      <c r="Q642" t="s">
        <v>28</v>
      </c>
      <c r="R642" s="3">
        <v>43119.661574074074</v>
      </c>
      <c r="T642" t="s">
        <v>3570</v>
      </c>
      <c r="U642" t="str">
        <f t="shared" si="36"/>
        <v>["ab4a73b6-1c2d-42e1-b4d9-049e04889cf0", "1eda4b16-05e3-43c3-b5b0-ef8276df0701"]</v>
      </c>
      <c r="V642" t="str">
        <f t="shared" si="37"/>
        <v/>
      </c>
      <c r="W642" t="str">
        <f t="shared" si="38"/>
        <v/>
      </c>
      <c r="X642" t="str">
        <f t="shared" si="39"/>
        <v/>
      </c>
    </row>
    <row r="643" spans="1:24" ht="409.5" x14ac:dyDescent="0.25">
      <c r="A643" t="s">
        <v>3571</v>
      </c>
      <c r="B643" t="s">
        <v>3572</v>
      </c>
      <c r="C643" t="s">
        <v>3573</v>
      </c>
      <c r="F643" s="2" t="s">
        <v>3574</v>
      </c>
      <c r="L643" t="s">
        <v>24</v>
      </c>
      <c r="M643" t="s">
        <v>25</v>
      </c>
      <c r="O643" t="s">
        <v>26</v>
      </c>
      <c r="P643" t="s">
        <v>3575</v>
      </c>
      <c r="Q643" t="s">
        <v>28</v>
      </c>
      <c r="R643" s="3">
        <v>42803.611446759256</v>
      </c>
      <c r="T643" t="s">
        <v>3576</v>
      </c>
      <c r="U643" t="str">
        <f t="shared" ref="U643:U706" si="40">LEFT(T643, 1024)</f>
        <v>["36a8b9e9-909e-4605-a7ba-686ee3e1b8bf", "6858b208-62bc-424e-9d7b-c89b74d3d3e3", "354f9aa0-2f0a-4cdf-9b60-d023da93cc76", "aa8876c7-9711-4969-b428-34400f2d0dbe", "298e6b5a-21a8-4d56-9484-1bac58c94a26", "5d642d09-8e03-4200-a79b-2a397a6d5d51", "87f121a7-eef0-4be9-9372-a5efe5b4d375", "28a7419c-f432-4e1a-b0a6-aa9e71968a14", "523ba2e4-8c55-4dde-8acf-39e3621811b0", "72fbf32e-c8c3-4914-92a1-66dc2439a114", "be2e0197-57b8-4fcf-a144-cb33f7466f3a", "029b31b2-c3b9-4a7b-8e03-c58a2b4da4b7"]</v>
      </c>
      <c r="V643" t="str">
        <f t="shared" ref="V643:V706" si="41">MID(T643, 1025, 1024)</f>
        <v/>
      </c>
      <c r="W643" t="str">
        <f t="shared" ref="W643:W706" si="42">MID(T643, 2049, 1024)</f>
        <v/>
      </c>
      <c r="X643" t="str">
        <f t="shared" ref="X643:X706" si="43">MID(T643, 3073, 1024)</f>
        <v/>
      </c>
    </row>
    <row r="644" spans="1:24" x14ac:dyDescent="0.25">
      <c r="A644" t="s">
        <v>3577</v>
      </c>
      <c r="B644" t="s">
        <v>3578</v>
      </c>
      <c r="C644" t="s">
        <v>3579</v>
      </c>
      <c r="F644" t="s">
        <v>3580</v>
      </c>
      <c r="L644" t="s">
        <v>24</v>
      </c>
      <c r="M644" t="s">
        <v>25</v>
      </c>
      <c r="O644" t="s">
        <v>26</v>
      </c>
      <c r="P644" t="s">
        <v>3581</v>
      </c>
      <c r="Q644" t="s">
        <v>28</v>
      </c>
      <c r="R644" s="3">
        <v>44316.502546296295</v>
      </c>
      <c r="T644" t="s">
        <v>3582</v>
      </c>
      <c r="U644" t="str">
        <f t="shared" si="40"/>
        <v>["c91a4635-8b7d-43fe-9b27-d95dec8392a7", "df4cc7ae-ead7-49aa-bcb8-b018f169162d", "f660cf3f-afa9-4816-aafb-0098a36ca57d"]</v>
      </c>
      <c r="V644" t="str">
        <f t="shared" si="41"/>
        <v/>
      </c>
      <c r="W644" t="str">
        <f t="shared" si="42"/>
        <v/>
      </c>
      <c r="X644" t="str">
        <f t="shared" si="43"/>
        <v/>
      </c>
    </row>
    <row r="645" spans="1:24" ht="409.5" x14ac:dyDescent="0.25">
      <c r="A645" t="s">
        <v>3583</v>
      </c>
      <c r="B645" t="s">
        <v>3584</v>
      </c>
      <c r="C645" t="s">
        <v>3585</v>
      </c>
      <c r="F645" s="2" t="s">
        <v>3586</v>
      </c>
      <c r="L645" t="s">
        <v>24</v>
      </c>
      <c r="M645" t="s">
        <v>25</v>
      </c>
      <c r="O645" t="s">
        <v>26</v>
      </c>
      <c r="P645" t="s">
        <v>3587</v>
      </c>
      <c r="Q645" t="s">
        <v>28</v>
      </c>
      <c r="R645" s="3">
        <v>45033.678564814814</v>
      </c>
      <c r="T645" t="s">
        <v>3588</v>
      </c>
      <c r="U645" t="str">
        <f t="shared" si="40"/>
        <v>["b01585af-110f-4f87-9bf1-06805605926c", "2e0129ab-c9bd-4679-a987-30fd5008472a"]</v>
      </c>
      <c r="V645" t="str">
        <f t="shared" si="41"/>
        <v/>
      </c>
      <c r="W645" t="str">
        <f t="shared" si="42"/>
        <v/>
      </c>
      <c r="X645" t="str">
        <f t="shared" si="43"/>
        <v/>
      </c>
    </row>
    <row r="646" spans="1:24" ht="360" x14ac:dyDescent="0.25">
      <c r="A646" t="s">
        <v>3589</v>
      </c>
      <c r="B646" t="s">
        <v>3590</v>
      </c>
      <c r="C646" t="s">
        <v>3591</v>
      </c>
      <c r="F646" s="2" t="s">
        <v>3592</v>
      </c>
      <c r="L646" t="s">
        <v>24</v>
      </c>
      <c r="M646" t="s">
        <v>25</v>
      </c>
      <c r="O646" t="s">
        <v>26</v>
      </c>
      <c r="P646" t="s">
        <v>3593</v>
      </c>
      <c r="Q646" t="s">
        <v>28</v>
      </c>
      <c r="R646" s="3">
        <v>45078.422118055554</v>
      </c>
      <c r="T646" t="s">
        <v>1376</v>
      </c>
      <c r="U646" t="str">
        <f t="shared" si="40"/>
        <v>["2c54f4d6-5712-4e5a-a025-b7f7a396c39b", "254757be-69ef-4a6c-a4c1-1432815d7522"]</v>
      </c>
      <c r="V646" t="str">
        <f t="shared" si="41"/>
        <v/>
      </c>
      <c r="W646" t="str">
        <f t="shared" si="42"/>
        <v/>
      </c>
      <c r="X646" t="str">
        <f t="shared" si="43"/>
        <v/>
      </c>
    </row>
    <row r="647" spans="1:24" ht="409.5" x14ac:dyDescent="0.25">
      <c r="A647" t="s">
        <v>3594</v>
      </c>
      <c r="B647" t="s">
        <v>3595</v>
      </c>
      <c r="C647" t="s">
        <v>3596</v>
      </c>
      <c r="F647" s="2" t="s">
        <v>3597</v>
      </c>
      <c r="L647" t="s">
        <v>24</v>
      </c>
      <c r="M647" t="s">
        <v>25</v>
      </c>
      <c r="O647" t="s">
        <v>26</v>
      </c>
      <c r="P647" t="s">
        <v>3598</v>
      </c>
      <c r="Q647" t="s">
        <v>28</v>
      </c>
      <c r="R647" s="3">
        <v>45208.630057870374</v>
      </c>
      <c r="T647" t="s">
        <v>3599</v>
      </c>
      <c r="U647" t="str">
        <f t="shared" si="40"/>
        <v>["8a5d8ef3-9e77-4d43-8828-aa92436caac0", "d75798ec-b601-4961-9b06-1c24faaab294", "94f10c98-be6b-4e38-b841-f7615ab019be", "1f4219b8-591c-43c8-9f87-f1c26a836eff", "9df9bbdc-5ea8-4d5e-8fd9-b80a47f64630", "0f6870c8-d9a0-4dcf-9d67-4fb0d75f0e35", "4c99b422-66b8-41bd-9d82-6593694d2878"]</v>
      </c>
      <c r="V647" t="str">
        <f t="shared" si="41"/>
        <v/>
      </c>
      <c r="W647" t="str">
        <f t="shared" si="42"/>
        <v/>
      </c>
      <c r="X647" t="str">
        <f t="shared" si="43"/>
        <v/>
      </c>
    </row>
    <row r="648" spans="1:24" x14ac:dyDescent="0.25">
      <c r="A648" t="s">
        <v>3600</v>
      </c>
      <c r="B648" t="s">
        <v>3601</v>
      </c>
      <c r="C648" t="s">
        <v>3602</v>
      </c>
      <c r="F648" t="s">
        <v>3603</v>
      </c>
      <c r="L648" t="s">
        <v>24</v>
      </c>
      <c r="M648" t="s">
        <v>25</v>
      </c>
      <c r="O648" t="s">
        <v>26</v>
      </c>
      <c r="P648" t="s">
        <v>3604</v>
      </c>
      <c r="Q648" t="s">
        <v>28</v>
      </c>
      <c r="R648" s="3">
        <v>45372.579340277778</v>
      </c>
      <c r="T648" t="s">
        <v>2712</v>
      </c>
      <c r="U648" t="str">
        <f t="shared" si="40"/>
        <v>["586e08a5-1ca6-400b-b2e2-dfd8fd3f429d"]</v>
      </c>
      <c r="V648" t="str">
        <f t="shared" si="41"/>
        <v/>
      </c>
      <c r="W648" t="str">
        <f t="shared" si="42"/>
        <v/>
      </c>
      <c r="X648" t="str">
        <f t="shared" si="43"/>
        <v/>
      </c>
    </row>
    <row r="649" spans="1:24" ht="409.5" x14ac:dyDescent="0.25">
      <c r="A649" t="s">
        <v>3605</v>
      </c>
      <c r="B649" t="s">
        <v>3606</v>
      </c>
      <c r="C649" t="s">
        <v>3607</v>
      </c>
      <c r="F649" s="2" t="s">
        <v>3608</v>
      </c>
      <c r="L649" t="s">
        <v>24</v>
      </c>
      <c r="M649" t="s">
        <v>25</v>
      </c>
      <c r="O649" t="s">
        <v>26</v>
      </c>
      <c r="P649" t="s">
        <v>3609</v>
      </c>
      <c r="Q649" t="s">
        <v>28</v>
      </c>
      <c r="R649" s="3">
        <v>42083.533356481479</v>
      </c>
      <c r="T649" t="s">
        <v>590</v>
      </c>
      <c r="U649" t="str">
        <f t="shared" si="40"/>
        <v>["522d3045-0b37-48d0-b868-57c99726b1c4", "9c203fec-dc0d-412c-a7a3-7fd77d0346f1"]</v>
      </c>
      <c r="V649" t="str">
        <f t="shared" si="41"/>
        <v/>
      </c>
      <c r="W649" t="str">
        <f t="shared" si="42"/>
        <v/>
      </c>
      <c r="X649" t="str">
        <f t="shared" si="43"/>
        <v/>
      </c>
    </row>
    <row r="650" spans="1:24" ht="409.5" x14ac:dyDescent="0.25">
      <c r="A650" t="s">
        <v>3610</v>
      </c>
      <c r="B650" t="s">
        <v>3611</v>
      </c>
      <c r="C650" t="s">
        <v>3612</v>
      </c>
      <c r="F650" s="2" t="s">
        <v>3613</v>
      </c>
      <c r="L650" t="s">
        <v>24</v>
      </c>
      <c r="M650" t="s">
        <v>25</v>
      </c>
      <c r="O650" t="s">
        <v>26</v>
      </c>
      <c r="P650" t="s">
        <v>3614</v>
      </c>
      <c r="Q650" t="s">
        <v>28</v>
      </c>
      <c r="R650" s="3">
        <v>42163.387673611112</v>
      </c>
      <c r="T650" t="s">
        <v>876</v>
      </c>
      <c r="U650" t="str">
        <f t="shared" si="40"/>
        <v>["d8beefc9-cf72-4e2c-9a78-fa1532dee407"]</v>
      </c>
      <c r="V650" t="str">
        <f t="shared" si="41"/>
        <v/>
      </c>
      <c r="W650" t="str">
        <f t="shared" si="42"/>
        <v/>
      </c>
      <c r="X650" t="str">
        <f t="shared" si="43"/>
        <v/>
      </c>
    </row>
    <row r="651" spans="1:24" ht="409.5" x14ac:dyDescent="0.25">
      <c r="A651" t="s">
        <v>3615</v>
      </c>
      <c r="B651" t="s">
        <v>3616</v>
      </c>
      <c r="C651" t="s">
        <v>3617</v>
      </c>
      <c r="F651" s="2" t="s">
        <v>3618</v>
      </c>
      <c r="L651" t="s">
        <v>24</v>
      </c>
      <c r="M651" t="s">
        <v>25</v>
      </c>
      <c r="O651" t="s">
        <v>26</v>
      </c>
      <c r="P651" t="s">
        <v>3619</v>
      </c>
      <c r="Q651" t="s">
        <v>28</v>
      </c>
      <c r="R651" s="3">
        <v>41190.568553240744</v>
      </c>
      <c r="T651" t="s">
        <v>3620</v>
      </c>
      <c r="U651" t="str">
        <f t="shared" si="40"/>
        <v>["7c6e9dbf-487b-4146-a379-19e46642c392", "97ef14eb-f280-48a7-96c0-df03859b06c2", "523ba2e4-8c55-4dde-8acf-39e3621811b0", "2ed52078-7e55-40ea-8036-0d89118a06f4", "5d642d09-8e03-4200-a79b-2a397a6d5d51", "3e62e13e-3955-494a-91b3-f00ab9e84b48"]</v>
      </c>
      <c r="V651" t="str">
        <f t="shared" si="41"/>
        <v/>
      </c>
      <c r="W651" t="str">
        <f t="shared" si="42"/>
        <v/>
      </c>
      <c r="X651" t="str">
        <f t="shared" si="43"/>
        <v/>
      </c>
    </row>
    <row r="652" spans="1:24" ht="409.5" x14ac:dyDescent="0.25">
      <c r="A652" t="s">
        <v>3621</v>
      </c>
      <c r="B652" t="s">
        <v>3622</v>
      </c>
      <c r="C652" t="s">
        <v>3623</v>
      </c>
      <c r="F652" s="2" t="s">
        <v>3624</v>
      </c>
      <c r="L652" t="s">
        <v>24</v>
      </c>
      <c r="M652" t="s">
        <v>25</v>
      </c>
      <c r="O652" t="s">
        <v>26</v>
      </c>
      <c r="P652" t="s">
        <v>3625</v>
      </c>
      <c r="Q652" t="s">
        <v>28</v>
      </c>
      <c r="R652" s="3">
        <v>43717.365405092591</v>
      </c>
      <c r="T652" t="s">
        <v>433</v>
      </c>
      <c r="U652" t="str">
        <f t="shared" si="40"/>
        <v>["2c54f4d6-5712-4e5a-a025-b7f7a396c39b"]</v>
      </c>
      <c r="V652" t="str">
        <f t="shared" si="41"/>
        <v/>
      </c>
      <c r="W652" t="str">
        <f t="shared" si="42"/>
        <v/>
      </c>
      <c r="X652" t="str">
        <f t="shared" si="43"/>
        <v/>
      </c>
    </row>
    <row r="653" spans="1:24" ht="409.5" x14ac:dyDescent="0.25">
      <c r="A653" t="s">
        <v>3626</v>
      </c>
      <c r="B653" t="s">
        <v>3627</v>
      </c>
      <c r="C653" t="s">
        <v>3628</v>
      </c>
      <c r="F653" s="2" t="s">
        <v>3629</v>
      </c>
      <c r="L653" t="s">
        <v>24</v>
      </c>
      <c r="M653" t="s">
        <v>25</v>
      </c>
      <c r="O653" t="s">
        <v>26</v>
      </c>
      <c r="P653" t="s">
        <v>3630</v>
      </c>
      <c r="Q653" t="s">
        <v>28</v>
      </c>
      <c r="R653" s="3">
        <v>43731.534143518518</v>
      </c>
      <c r="T653" t="s">
        <v>2086</v>
      </c>
      <c r="U653" t="str">
        <f t="shared" si="40"/>
        <v>["a73befc7-575f-48cb-8eb9-b05172a8c9e3"]</v>
      </c>
      <c r="V653" t="str">
        <f t="shared" si="41"/>
        <v/>
      </c>
      <c r="W653" t="str">
        <f t="shared" si="42"/>
        <v/>
      </c>
      <c r="X653" t="str">
        <f t="shared" si="43"/>
        <v/>
      </c>
    </row>
    <row r="654" spans="1:24" ht="409.5" x14ac:dyDescent="0.25">
      <c r="A654" t="s">
        <v>3631</v>
      </c>
      <c r="B654" t="s">
        <v>3632</v>
      </c>
      <c r="C654" t="s">
        <v>3633</v>
      </c>
      <c r="F654" s="2" t="s">
        <v>3634</v>
      </c>
      <c r="L654" t="s">
        <v>24</v>
      </c>
      <c r="M654" t="s">
        <v>25</v>
      </c>
      <c r="O654" t="s">
        <v>26</v>
      </c>
      <c r="P654" t="s">
        <v>3635</v>
      </c>
      <c r="Q654" t="s">
        <v>28</v>
      </c>
      <c r="R654" s="3">
        <v>41815.421168981484</v>
      </c>
      <c r="T654" t="s">
        <v>3636</v>
      </c>
      <c r="U654" t="str">
        <f t="shared" si="40"/>
        <v>["523ba2e4-8c55-4dde-8acf-39e3621811b0", "28a7419c-f432-4e1a-b0a6-aa9e71968a14", "87f121a7-eef0-4be9-9372-a5efe5b4d375", "5d642d09-8e03-4200-a79b-2a397a6d5d51", "aab0a0be-89e6-442e-8cf9-e762bd18f76b", "6f412521-2e9b-44b1-a3e4-8f1358caef63", "21fca925-12ac-4215-ba1a-a9c73cb3b082", "22add642-d849-48ff-9913-8c7ba2d99b46", "298e6b5a-21a8-4d56-9484-1bac58c94a26", "c1ba372b-dba2-4bce-b72e-b5c832eaaf44", "f4e80988-c139-4953-8176-b3d6d03f6449", "3e62e13e-3955-494a-91b3-f00ab9e84b48"]</v>
      </c>
      <c r="V654" t="str">
        <f t="shared" si="41"/>
        <v/>
      </c>
      <c r="W654" t="str">
        <f t="shared" si="42"/>
        <v/>
      </c>
      <c r="X654" t="str">
        <f t="shared" si="43"/>
        <v/>
      </c>
    </row>
    <row r="655" spans="1:24" ht="409.5" x14ac:dyDescent="0.25">
      <c r="A655" t="s">
        <v>3637</v>
      </c>
      <c r="B655" t="s">
        <v>3638</v>
      </c>
      <c r="C655" t="s">
        <v>3639</v>
      </c>
      <c r="F655" s="2" t="s">
        <v>3640</v>
      </c>
      <c r="L655" t="s">
        <v>24</v>
      </c>
      <c r="M655" t="s">
        <v>25</v>
      </c>
      <c r="O655" t="s">
        <v>26</v>
      </c>
      <c r="P655" t="s">
        <v>3641</v>
      </c>
      <c r="Q655" t="s">
        <v>28</v>
      </c>
      <c r="R655" s="3">
        <v>41561.663761574076</v>
      </c>
      <c r="T655" t="s">
        <v>3642</v>
      </c>
      <c r="U655" t="str">
        <f t="shared" si="40"/>
        <v>["aac2629e-495d-4468-9c8b-cd9649bd7b5d", "2adc5a86-faa3-4b63-acff-a66128b811b7", "96196887-5a20-4e93-a302-72f306f32c9d", "87f121a7-eef0-4be9-9372-a5efe5b4d375", "6f412521-2e9b-44b1-a3e4-8f1358caef63", "fc725989-5c3e-4bf4-89b1-68caeec4d858", "898afe8c-0297-45d6-b4b5-0cb9e632094b", "bd8b518b-d812-46f9-b367-4c1b660cfc99", "71084c02-973d-4544-b804-7ed82bd53027", "2ed52078-7e55-40ea-8036-0d89118a06f4", "716d89ce-b0da-4158-abb6-72f562206b37"]</v>
      </c>
      <c r="V655" t="str">
        <f t="shared" si="41"/>
        <v/>
      </c>
      <c r="W655" t="str">
        <f t="shared" si="42"/>
        <v/>
      </c>
      <c r="X655" t="str">
        <f t="shared" si="43"/>
        <v/>
      </c>
    </row>
    <row r="656" spans="1:24" ht="409.5" x14ac:dyDescent="0.25">
      <c r="A656" t="s">
        <v>3643</v>
      </c>
      <c r="B656" t="s">
        <v>3644</v>
      </c>
      <c r="C656" t="s">
        <v>3645</v>
      </c>
      <c r="F656" s="2" t="s">
        <v>3646</v>
      </c>
      <c r="L656" t="s">
        <v>24</v>
      </c>
      <c r="M656" t="s">
        <v>25</v>
      </c>
      <c r="O656" t="s">
        <v>26</v>
      </c>
      <c r="P656" t="s">
        <v>3647</v>
      </c>
      <c r="Q656" t="s">
        <v>28</v>
      </c>
      <c r="R656" s="3">
        <v>43997.627291666664</v>
      </c>
      <c r="T656" t="s">
        <v>433</v>
      </c>
      <c r="U656" t="str">
        <f t="shared" si="40"/>
        <v>["2c54f4d6-5712-4e5a-a025-b7f7a396c39b"]</v>
      </c>
      <c r="V656" t="str">
        <f t="shared" si="41"/>
        <v/>
      </c>
      <c r="W656" t="str">
        <f t="shared" si="42"/>
        <v/>
      </c>
      <c r="X656" t="str">
        <f t="shared" si="43"/>
        <v/>
      </c>
    </row>
    <row r="657" spans="1:24" ht="409.5" x14ac:dyDescent="0.25">
      <c r="A657" t="s">
        <v>3648</v>
      </c>
      <c r="B657" t="s">
        <v>3649</v>
      </c>
      <c r="C657" t="s">
        <v>3650</v>
      </c>
      <c r="F657" s="2" t="s">
        <v>3651</v>
      </c>
      <c r="L657" t="s">
        <v>24</v>
      </c>
      <c r="M657" t="s">
        <v>25</v>
      </c>
      <c r="O657" t="s">
        <v>26</v>
      </c>
      <c r="P657" t="s">
        <v>3652</v>
      </c>
      <c r="Q657" t="s">
        <v>28</v>
      </c>
      <c r="R657" s="3">
        <v>43987.543587962966</v>
      </c>
      <c r="T657" t="s">
        <v>3653</v>
      </c>
      <c r="U657" t="str">
        <f t="shared" si="40"/>
        <v>["4b71eb3d-7d55-4967-b80d-91a3f220b60c", "4bd85183-cba6-3079-881d-45981f1f9f78"]</v>
      </c>
      <c r="V657" t="str">
        <f t="shared" si="41"/>
        <v/>
      </c>
      <c r="W657" t="str">
        <f t="shared" si="42"/>
        <v/>
      </c>
      <c r="X657" t="str">
        <f t="shared" si="43"/>
        <v/>
      </c>
    </row>
    <row r="658" spans="1:24" x14ac:dyDescent="0.25">
      <c r="A658" t="s">
        <v>3654</v>
      </c>
      <c r="B658" t="s">
        <v>3655</v>
      </c>
      <c r="C658" t="s">
        <v>3656</v>
      </c>
      <c r="F658" t="s">
        <v>3657</v>
      </c>
      <c r="L658" t="s">
        <v>24</v>
      </c>
      <c r="M658" t="s">
        <v>25</v>
      </c>
      <c r="O658" t="s">
        <v>26</v>
      </c>
      <c r="P658" t="s">
        <v>3658</v>
      </c>
      <c r="Q658" t="s">
        <v>28</v>
      </c>
      <c r="R658" s="3">
        <v>44218.665520833332</v>
      </c>
      <c r="T658" t="s">
        <v>3659</v>
      </c>
      <c r="U658" t="str">
        <f t="shared" si="40"/>
        <v>["52abfc2b-031c-4875-b838-653abbfccf4e", "734a5746-bbda-4fc0-8eb3-52c6325ceb88", "3765ed62-0f9d-49ad-83b0-1405ed833108", "2f6649b6-2b2d-49a9-ab31-6c7e43728001", "ef8e980b-9644-45d8-b0e9-c6aaf0eff0c0", "4b71eb3d-7d55-4967-b80d-91a3f220b60c"]</v>
      </c>
      <c r="V658" t="str">
        <f t="shared" si="41"/>
        <v/>
      </c>
      <c r="W658" t="str">
        <f t="shared" si="42"/>
        <v/>
      </c>
      <c r="X658" t="str">
        <f t="shared" si="43"/>
        <v/>
      </c>
    </row>
    <row r="659" spans="1:24" ht="409.5" x14ac:dyDescent="0.25">
      <c r="A659" t="s">
        <v>3660</v>
      </c>
      <c r="B659" t="s">
        <v>3661</v>
      </c>
      <c r="C659" t="s">
        <v>3662</v>
      </c>
      <c r="F659" s="2" t="s">
        <v>3663</v>
      </c>
      <c r="L659" t="s">
        <v>24</v>
      </c>
      <c r="M659" t="s">
        <v>25</v>
      </c>
      <c r="O659" t="s">
        <v>26</v>
      </c>
      <c r="P659" t="s">
        <v>3664</v>
      </c>
      <c r="Q659" t="s">
        <v>28</v>
      </c>
      <c r="R659" s="3">
        <v>44210.81212962963</v>
      </c>
      <c r="T659" t="s">
        <v>3011</v>
      </c>
      <c r="U659" t="str">
        <f t="shared" si="40"/>
        <v>["4312623f-2cdc-4a59-bea5-877310e6e48d"]</v>
      </c>
      <c r="V659" t="str">
        <f t="shared" si="41"/>
        <v/>
      </c>
      <c r="W659" t="str">
        <f t="shared" si="42"/>
        <v/>
      </c>
      <c r="X659" t="str">
        <f t="shared" si="43"/>
        <v/>
      </c>
    </row>
    <row r="660" spans="1:24" ht="409.5" x14ac:dyDescent="0.25">
      <c r="A660" t="s">
        <v>3665</v>
      </c>
      <c r="B660" t="s">
        <v>3666</v>
      </c>
      <c r="C660" t="s">
        <v>3667</v>
      </c>
      <c r="F660" s="2" t="s">
        <v>3668</v>
      </c>
      <c r="L660" t="s">
        <v>24</v>
      </c>
      <c r="M660" t="s">
        <v>25</v>
      </c>
      <c r="O660" t="s">
        <v>26</v>
      </c>
      <c r="P660" t="s">
        <v>3669</v>
      </c>
      <c r="Q660" t="s">
        <v>28</v>
      </c>
      <c r="R660" s="3">
        <v>41190.531863425924</v>
      </c>
      <c r="T660" t="s">
        <v>3670</v>
      </c>
      <c r="U660" t="str">
        <f t="shared" si="40"/>
        <v>["146384fc-3f64-4482-a78a-2f082411a27d", "c6fc4688-1aca-4363-bd1a-8d14ea08d2f8", "aab0a0be-89e6-442e-8cf9-e762bd18f76b", "21fca925-12ac-4215-ba1a-a9c73cb3b082", "298e6b5a-21a8-4d56-9484-1bac58c94a26", "e7065317-1d57-434a-8428-efa263ecc526", "716d89ce-b0da-4158-abb6-72f562206b37", "3e62e13e-3955-494a-91b3-f00ab9e84b48", "2ed52078-7e55-40ea-8036-0d89118a06f4", "bd8b518b-d812-46f9-b367-4c1b660cfc99", "ff1480b5-61f2-4008-aada-387c2c490549", "71084c02-973d-4544-b804-7ed82bd53027", "c7e84d16-449e-4154-a1bd-603b4fae329e", "898afe8c-0297-45d6-b4b5-0cb9e632094b", "c1ba372b-dba2-4bce-b72e-b5c832eaaf44", "d2c6f6f5-2236-4217-8361-3297b6369979", "54fc7750-8540-4c22-8d46-9a6a2641c41a", "5d642d09-8e03-4200-a79b-2a397a6d5d51", "87f121a7-eef0-4be9-9372-a5efe5b4d375", "7035def0-a9df-430a-99ee-6e13de12676c", "8d482810-26da-4bbc-8599-6b1fd1ab8743", "d9321ccf-d303-4cfb-a24b-32aba49cef81", "97ef14eb-f280-48a7-96c0-df03859b06c2", "96196887-5a20-4e93-a302-72f306f32c9d", "523ba2e4-8c55-4dde-8acf-39e3621811b0", "7fcf7f09-12d7-4b06-a18</v>
      </c>
      <c r="V660" t="str">
        <f t="shared" si="41"/>
        <v>3-93c51f940670", "6f412521-2e9b-44b1-a3e4-8f1358caef63", "455cf48c-cdee-4721-a0ed-cd38af7aff0f", "de64ade8-5025-40f9-a2e0-15b72797e6a7", "826d798e-01d1-48d3-973c-e0e466a63ca8", "a42cbe4f-89f0-42ae-a34d-f2e5db6aa1d2", "2adc5a86-faa3-4b63-acff-a66128b811b7", "7c6e9dbf-487b-4146-a379-19e46642c392", "fc725989-5c3e-4bf4-89b1-68caeec4d858", "038920bb-8c40-4a30-8d0c-0a29bcd64751", "8e420764-a913-4eae-8514-9be858fdb9b3", "28a7419c-f432-4e1a-b0a6-aa9e71968a14", "72fbf32e-c8c3-4914-92a1-66dc2439a114", "84f9e5e8-4baa-42a4-a491-fb92d0258f49", "f4e80988-c139-4953-8176-b3d6d03f6449", "f0335765-1ab0-4e94-ab38-f404de4c3b4d"]</v>
      </c>
      <c r="W660" t="str">
        <f t="shared" si="42"/>
        <v/>
      </c>
      <c r="X660" t="str">
        <f t="shared" si="43"/>
        <v/>
      </c>
    </row>
    <row r="661" spans="1:24" ht="409.5" x14ac:dyDescent="0.25">
      <c r="A661" t="s">
        <v>3671</v>
      </c>
      <c r="B661" t="s">
        <v>3672</v>
      </c>
      <c r="C661" t="s">
        <v>3673</v>
      </c>
      <c r="F661" s="2" t="s">
        <v>3674</v>
      </c>
      <c r="L661" t="s">
        <v>24</v>
      </c>
      <c r="M661" t="s">
        <v>25</v>
      </c>
      <c r="O661" t="s">
        <v>26</v>
      </c>
      <c r="P661" t="s">
        <v>3675</v>
      </c>
      <c r="Q661" t="s">
        <v>28</v>
      </c>
      <c r="R661" s="3">
        <v>44298.469629629632</v>
      </c>
      <c r="T661" t="s">
        <v>335</v>
      </c>
      <c r="U661" t="str">
        <f t="shared" si="40"/>
        <v>["3ff63cf5-8d04-4be5-9449-96411ae9fc36"]</v>
      </c>
      <c r="V661" t="str">
        <f t="shared" si="41"/>
        <v/>
      </c>
      <c r="W661" t="str">
        <f t="shared" si="42"/>
        <v/>
      </c>
      <c r="X661" t="str">
        <f t="shared" si="43"/>
        <v/>
      </c>
    </row>
    <row r="662" spans="1:24" ht="409.5" x14ac:dyDescent="0.25">
      <c r="A662" t="s">
        <v>3676</v>
      </c>
      <c r="B662" t="s">
        <v>3677</v>
      </c>
      <c r="C662" t="s">
        <v>3678</v>
      </c>
      <c r="F662" s="2" t="s">
        <v>3679</v>
      </c>
      <c r="L662" t="s">
        <v>24</v>
      </c>
      <c r="M662" t="s">
        <v>25</v>
      </c>
      <c r="O662" t="s">
        <v>26</v>
      </c>
      <c r="P662" t="s">
        <v>3680</v>
      </c>
      <c r="Q662" t="s">
        <v>28</v>
      </c>
      <c r="R662" s="3">
        <v>44440.72016203704</v>
      </c>
      <c r="T662" t="s">
        <v>433</v>
      </c>
      <c r="U662" t="str">
        <f t="shared" si="40"/>
        <v>["2c54f4d6-5712-4e5a-a025-b7f7a396c39b"]</v>
      </c>
      <c r="V662" t="str">
        <f t="shared" si="41"/>
        <v/>
      </c>
      <c r="W662" t="str">
        <f t="shared" si="42"/>
        <v/>
      </c>
      <c r="X662" t="str">
        <f t="shared" si="43"/>
        <v/>
      </c>
    </row>
    <row r="663" spans="1:24" ht="409.5" x14ac:dyDescent="0.25">
      <c r="A663" t="s">
        <v>3681</v>
      </c>
      <c r="B663" t="s">
        <v>3682</v>
      </c>
      <c r="C663" t="s">
        <v>3683</v>
      </c>
      <c r="F663" s="2" t="s">
        <v>3684</v>
      </c>
      <c r="L663" t="s">
        <v>24</v>
      </c>
      <c r="M663" t="s">
        <v>25</v>
      </c>
      <c r="O663" t="s">
        <v>26</v>
      </c>
      <c r="P663" t="s">
        <v>3685</v>
      </c>
      <c r="Q663" t="s">
        <v>28</v>
      </c>
      <c r="R663" s="3">
        <v>42921.3828125</v>
      </c>
      <c r="T663" t="s">
        <v>1376</v>
      </c>
      <c r="U663" t="str">
        <f t="shared" si="40"/>
        <v>["2c54f4d6-5712-4e5a-a025-b7f7a396c39b", "254757be-69ef-4a6c-a4c1-1432815d7522"]</v>
      </c>
      <c r="V663" t="str">
        <f t="shared" si="41"/>
        <v/>
      </c>
      <c r="W663" t="str">
        <f t="shared" si="42"/>
        <v/>
      </c>
      <c r="X663" t="str">
        <f t="shared" si="43"/>
        <v/>
      </c>
    </row>
    <row r="664" spans="1:24" ht="409.5" x14ac:dyDescent="0.25">
      <c r="A664" t="s">
        <v>3686</v>
      </c>
      <c r="B664" t="s">
        <v>3687</v>
      </c>
      <c r="C664" t="s">
        <v>3688</v>
      </c>
      <c r="F664" s="2" t="s">
        <v>3689</v>
      </c>
      <c r="L664" t="s">
        <v>24</v>
      </c>
      <c r="M664" t="s">
        <v>25</v>
      </c>
      <c r="O664" t="s">
        <v>26</v>
      </c>
      <c r="P664" t="s">
        <v>3690</v>
      </c>
      <c r="Q664" t="s">
        <v>28</v>
      </c>
      <c r="R664" s="3">
        <v>41190.553402777776</v>
      </c>
      <c r="T664" t="s">
        <v>3691</v>
      </c>
      <c r="U664" t="str">
        <f t="shared" si="40"/>
        <v>["146384fc-3f64-4482-a78a-2f082411a27d", "98908792-f315-4834-9b5e-20fed66cbe5a"]</v>
      </c>
      <c r="V664" t="str">
        <f t="shared" si="41"/>
        <v/>
      </c>
      <c r="W664" t="str">
        <f t="shared" si="42"/>
        <v/>
      </c>
      <c r="X664" t="str">
        <f t="shared" si="43"/>
        <v/>
      </c>
    </row>
    <row r="665" spans="1:24" ht="409.5" x14ac:dyDescent="0.25">
      <c r="A665" t="s">
        <v>3692</v>
      </c>
      <c r="B665" t="s">
        <v>3693</v>
      </c>
      <c r="C665" t="s">
        <v>3694</v>
      </c>
      <c r="F665" s="2" t="s">
        <v>3695</v>
      </c>
      <c r="L665" t="s">
        <v>24</v>
      </c>
      <c r="M665" t="s">
        <v>25</v>
      </c>
      <c r="O665" t="s">
        <v>26</v>
      </c>
      <c r="P665" t="s">
        <v>3696</v>
      </c>
      <c r="Q665" t="s">
        <v>28</v>
      </c>
      <c r="R665" s="3">
        <v>44994.538171296299</v>
      </c>
      <c r="T665" t="s">
        <v>1376</v>
      </c>
      <c r="U665" t="str">
        <f t="shared" si="40"/>
        <v>["2c54f4d6-5712-4e5a-a025-b7f7a396c39b", "254757be-69ef-4a6c-a4c1-1432815d7522"]</v>
      </c>
      <c r="V665" t="str">
        <f t="shared" si="41"/>
        <v/>
      </c>
      <c r="W665" t="str">
        <f t="shared" si="42"/>
        <v/>
      </c>
      <c r="X665" t="str">
        <f t="shared" si="43"/>
        <v/>
      </c>
    </row>
    <row r="666" spans="1:24" ht="409.5" x14ac:dyDescent="0.25">
      <c r="A666" t="s">
        <v>3697</v>
      </c>
      <c r="B666" t="s">
        <v>3698</v>
      </c>
      <c r="C666" t="s">
        <v>3699</v>
      </c>
      <c r="F666" s="2" t="s">
        <v>3700</v>
      </c>
      <c r="L666" t="s">
        <v>24</v>
      </c>
      <c r="M666" t="s">
        <v>25</v>
      </c>
      <c r="O666" t="s">
        <v>26</v>
      </c>
      <c r="P666" t="s">
        <v>3701</v>
      </c>
      <c r="Q666" t="s">
        <v>28</v>
      </c>
      <c r="R666" s="3">
        <v>45147.500821759262</v>
      </c>
      <c r="T666" t="s">
        <v>3702</v>
      </c>
      <c r="U666" t="str">
        <f t="shared" si="40"/>
        <v>["ea26a2de-5d6b-4a2d-ba1f-4956f0ff8a40"]</v>
      </c>
      <c r="V666" t="str">
        <f t="shared" si="41"/>
        <v/>
      </c>
      <c r="W666" t="str">
        <f t="shared" si="42"/>
        <v/>
      </c>
      <c r="X666" t="str">
        <f t="shared" si="43"/>
        <v/>
      </c>
    </row>
    <row r="667" spans="1:24" ht="409.5" x14ac:dyDescent="0.25">
      <c r="A667" t="s">
        <v>3703</v>
      </c>
      <c r="B667" t="s">
        <v>3704</v>
      </c>
      <c r="C667" t="s">
        <v>3705</v>
      </c>
      <c r="F667" s="2" t="s">
        <v>3706</v>
      </c>
      <c r="L667" t="s">
        <v>24</v>
      </c>
      <c r="M667" t="s">
        <v>25</v>
      </c>
      <c r="O667" t="s">
        <v>26</v>
      </c>
      <c r="P667" s="3">
        <v>45454.260324074072</v>
      </c>
      <c r="Q667" t="s">
        <v>28</v>
      </c>
      <c r="R667" s="3">
        <v>41303.368738425925</v>
      </c>
      <c r="T667" t="s">
        <v>3050</v>
      </c>
      <c r="U667" t="str">
        <f t="shared" si="40"/>
        <v>["d3c0a223-516b-4049-9370-22881a0428d8", "884c0d9f-f790-41c2-a2a5-351b7c434896", "7562f659-398d-46d7-9167-7f9ccaa00263"]</v>
      </c>
      <c r="V667" t="str">
        <f t="shared" si="41"/>
        <v/>
      </c>
      <c r="W667" t="str">
        <f t="shared" si="42"/>
        <v/>
      </c>
      <c r="X667" t="str">
        <f t="shared" si="43"/>
        <v/>
      </c>
    </row>
    <row r="668" spans="1:24" ht="409.5" x14ac:dyDescent="0.25">
      <c r="A668" t="s">
        <v>3707</v>
      </c>
      <c r="B668" t="s">
        <v>3708</v>
      </c>
      <c r="C668" t="s">
        <v>3709</v>
      </c>
      <c r="F668" s="2" t="s">
        <v>3710</v>
      </c>
      <c r="L668" t="s">
        <v>24</v>
      </c>
      <c r="M668" t="s">
        <v>25</v>
      </c>
      <c r="O668" t="s">
        <v>26</v>
      </c>
      <c r="P668" t="s">
        <v>3711</v>
      </c>
      <c r="Q668" t="s">
        <v>28</v>
      </c>
      <c r="R668" t="s">
        <v>3712</v>
      </c>
      <c r="T668" t="s">
        <v>3713</v>
      </c>
      <c r="U668" t="str">
        <f t="shared" si="40"/>
        <v>["fc725989-5c3e-4bf4-89b1-68caeec4d858", "7c6e9dbf-487b-4146-a379-19e46642c392", "826d798e-01d1-48d3-973c-e0e466a63ca8", "455cf48c-cdee-4721-a0ed-cd38af7aff0f", "97ef14eb-f280-48a7-96c0-df03859b06c2", "523ba2e4-8c55-4dde-8acf-39e3621811b0", "4315e096-f51e-4b56-8235-57be9789a62c", "47c7ffa9-65ba-41d1-9461-4e5458afd62e", "54fc7750-8540-4c22-8d46-9a6a2641c41a", "8d482810-26da-4bbc-8599-6b1fd1ab8743", "c7e84d16-449e-4154-a1bd-603b4fae329e", "146384fc-3f64-4482-a78a-2f082411a27d", "298e6b5a-21a8-4d56-9484-1bac58c94a26", "d9321ccf-d303-4cfb-a24b-32aba49cef81", "6f412521-2e9b-44b1-a3e4-8f1358caef63", "2ed52078-7e55-40ea-8036-0d89118a06f4", "5d642d09-8e03-4200-a79b-2a397a6d5d51", "2adc5a86-faa3-4b63-acff-a66128b811b7", "87f121a7-eef0-4be9-9372-a5efe5b4d375", "898afe8c-0297-45d6-b4b5-0cb9e632094b", "de64ade8-5025-40f9-a2e0-15b72797e6a7", "716d89ce-b0da-4158-abb6-72f562206b37", "3e62e13e-3955-494a-91b3-f00ab9e84b48", "c1ba372b-dba2-4bce-b72e-b5c832eaaf44"]</v>
      </c>
      <c r="V668" t="str">
        <f t="shared" si="41"/>
        <v/>
      </c>
      <c r="W668" t="str">
        <f t="shared" si="42"/>
        <v/>
      </c>
      <c r="X668" t="str">
        <f t="shared" si="43"/>
        <v/>
      </c>
    </row>
    <row r="669" spans="1:24" ht="409.5" x14ac:dyDescent="0.25">
      <c r="A669" t="s">
        <v>3714</v>
      </c>
      <c r="B669" t="s">
        <v>3715</v>
      </c>
      <c r="C669" t="s">
        <v>3716</v>
      </c>
      <c r="F669" s="2" t="s">
        <v>3717</v>
      </c>
      <c r="L669" t="s">
        <v>24</v>
      </c>
      <c r="M669" t="s">
        <v>25</v>
      </c>
      <c r="O669" t="s">
        <v>26</v>
      </c>
      <c r="P669" t="s">
        <v>3718</v>
      </c>
      <c r="Q669" t="s">
        <v>28</v>
      </c>
      <c r="R669" s="3">
        <v>42157.448182870372</v>
      </c>
      <c r="T669" t="s">
        <v>708</v>
      </c>
      <c r="U669" t="str">
        <f t="shared" si="40"/>
        <v>["e454bf6a-3321-4a86-998a-af61123eb056", "ba4b775e-6073-402d-9210-509125f6c5a3"]</v>
      </c>
      <c r="V669" t="str">
        <f t="shared" si="41"/>
        <v/>
      </c>
      <c r="W669" t="str">
        <f t="shared" si="42"/>
        <v/>
      </c>
      <c r="X669" t="str">
        <f t="shared" si="43"/>
        <v/>
      </c>
    </row>
    <row r="670" spans="1:24" ht="409.5" x14ac:dyDescent="0.25">
      <c r="A670" t="s">
        <v>3719</v>
      </c>
      <c r="B670" t="s">
        <v>3720</v>
      </c>
      <c r="C670" t="s">
        <v>3721</v>
      </c>
      <c r="F670" s="2" t="s">
        <v>3722</v>
      </c>
      <c r="L670" t="s">
        <v>24</v>
      </c>
      <c r="M670" t="s">
        <v>25</v>
      </c>
      <c r="O670" t="s">
        <v>26</v>
      </c>
      <c r="P670" t="s">
        <v>3723</v>
      </c>
      <c r="Q670" t="s">
        <v>28</v>
      </c>
      <c r="R670" s="3">
        <v>42249.422037037039</v>
      </c>
      <c r="T670" t="s">
        <v>3724</v>
      </c>
      <c r="U670" t="str">
        <f t="shared" si="40"/>
        <v>["92183c55-442b-405d-9046-d19b07ffc83a", "74358c31-1607-41ff-bf02-a4b171e3a40d"]</v>
      </c>
      <c r="V670" t="str">
        <f t="shared" si="41"/>
        <v/>
      </c>
      <c r="W670" t="str">
        <f t="shared" si="42"/>
        <v/>
      </c>
      <c r="X670" t="str">
        <f t="shared" si="43"/>
        <v/>
      </c>
    </row>
    <row r="671" spans="1:24" ht="409.5" x14ac:dyDescent="0.25">
      <c r="A671" t="s">
        <v>3725</v>
      </c>
      <c r="B671" t="s">
        <v>3726</v>
      </c>
      <c r="C671" t="s">
        <v>3727</v>
      </c>
      <c r="F671" s="2" t="s">
        <v>3728</v>
      </c>
      <c r="L671" t="s">
        <v>24</v>
      </c>
      <c r="M671" t="s">
        <v>25</v>
      </c>
      <c r="O671" t="s">
        <v>26</v>
      </c>
      <c r="P671" t="s">
        <v>3729</v>
      </c>
      <c r="Q671" t="s">
        <v>28</v>
      </c>
      <c r="R671" s="3">
        <v>42166.637407407405</v>
      </c>
      <c r="T671" t="s">
        <v>3730</v>
      </c>
      <c r="U671" t="str">
        <f t="shared" si="40"/>
        <v>["a5841caf-afe2-4f98-bb68-bd4899e8c9cb", "9087fe9a-1dd4-49a1-98b4-8a8c659eb64f", "4b901b6b-f131-49f7-ba8b-2e3b7bfd4ea6", "a01bd054-65f7-4433-b852-6c8f926a4da0", "cfb7d12a-0942-468a-9fdd-0399029e196f", "3aa31f0e-b807-45fe-88ab-209e006f1c78", "a2aacf9c-c06b-49ac-b196-0eb22fbc6e84"]</v>
      </c>
      <c r="V671" t="str">
        <f t="shared" si="41"/>
        <v/>
      </c>
      <c r="W671" t="str">
        <f t="shared" si="42"/>
        <v/>
      </c>
      <c r="X671" t="str">
        <f t="shared" si="43"/>
        <v/>
      </c>
    </row>
    <row r="672" spans="1:24" ht="409.5" x14ac:dyDescent="0.25">
      <c r="A672" t="s">
        <v>3731</v>
      </c>
      <c r="B672" t="s">
        <v>3732</v>
      </c>
      <c r="C672" t="s">
        <v>3733</v>
      </c>
      <c r="F672" s="2" t="s">
        <v>3734</v>
      </c>
      <c r="L672" t="s">
        <v>24</v>
      </c>
      <c r="M672" t="s">
        <v>25</v>
      </c>
      <c r="O672" t="s">
        <v>26</v>
      </c>
      <c r="P672" t="s">
        <v>3735</v>
      </c>
      <c r="Q672" t="s">
        <v>28</v>
      </c>
      <c r="R672" s="3">
        <v>42600.466898148145</v>
      </c>
      <c r="T672" t="s">
        <v>29</v>
      </c>
      <c r="U672" t="str">
        <f t="shared" si="40"/>
        <v>[]</v>
      </c>
      <c r="V672" t="str">
        <f t="shared" si="41"/>
        <v/>
      </c>
      <c r="W672" t="str">
        <f t="shared" si="42"/>
        <v/>
      </c>
      <c r="X672" t="str">
        <f t="shared" si="43"/>
        <v/>
      </c>
    </row>
    <row r="673" spans="1:24" ht="409.5" x14ac:dyDescent="0.25">
      <c r="A673" t="s">
        <v>3736</v>
      </c>
      <c r="B673" t="s">
        <v>3737</v>
      </c>
      <c r="C673" t="s">
        <v>3738</v>
      </c>
      <c r="F673" s="2" t="s">
        <v>3739</v>
      </c>
      <c r="L673" t="s">
        <v>24</v>
      </c>
      <c r="M673" t="s">
        <v>25</v>
      </c>
      <c r="O673" t="s">
        <v>26</v>
      </c>
      <c r="P673" t="s">
        <v>3740</v>
      </c>
      <c r="Q673" t="s">
        <v>28</v>
      </c>
      <c r="R673" s="3">
        <v>42528.374351851853</v>
      </c>
      <c r="T673" t="s">
        <v>3741</v>
      </c>
      <c r="U673" t="str">
        <f t="shared" si="40"/>
        <v>["09e70f89-cadf-4a3b-a29a-2b3f3c6cbd71", "28185052-3df4-46ae-8c97-8b47221c6487", "827fb7fd-09ac-4c5f-a241-4cc35cc09366", "2e9f926c-f688-4889-856d-5e6935440c28", "3828fd26-5284-444b-ba25-a68a84e91bdf", "a9c194f6-5df5-4f7d-9e43-b0dcf62ac8e1", "2ee6b8bf-6292-413c-bb8b-bd22dbb2ad4b", "e4079286-310c-435a-af2d-64604ba9ade5", "091a085f-2652-429f-8dde-c69199440ddf", "cede9004-ba9f-4a4f-8bed-773927c17f48", "4111e2d8-1729-4953-899a-c55bc382857e", "c223b93a-2634-4f06-ac73-8709b9e16888"]</v>
      </c>
      <c r="V673" t="str">
        <f t="shared" si="41"/>
        <v/>
      </c>
      <c r="W673" t="str">
        <f t="shared" si="42"/>
        <v/>
      </c>
      <c r="X673" t="str">
        <f t="shared" si="43"/>
        <v/>
      </c>
    </row>
    <row r="674" spans="1:24" ht="409.5" x14ac:dyDescent="0.25">
      <c r="A674" t="s">
        <v>3742</v>
      </c>
      <c r="B674" t="s">
        <v>3743</v>
      </c>
      <c r="C674" t="s">
        <v>3744</v>
      </c>
      <c r="F674" s="2" t="s">
        <v>3745</v>
      </c>
      <c r="L674" t="s">
        <v>24</v>
      </c>
      <c r="M674" t="s">
        <v>25</v>
      </c>
      <c r="O674" t="s">
        <v>26</v>
      </c>
      <c r="P674" t="s">
        <v>3746</v>
      </c>
      <c r="Q674" t="s">
        <v>28</v>
      </c>
      <c r="R674" s="3">
        <v>42678.412581018521</v>
      </c>
      <c r="T674" t="s">
        <v>674</v>
      </c>
      <c r="U674" t="str">
        <f t="shared" si="40"/>
        <v>["522d3045-0b37-48d0-b868-57c99726b1c4"]</v>
      </c>
      <c r="V674" t="str">
        <f t="shared" si="41"/>
        <v/>
      </c>
      <c r="W674" t="str">
        <f t="shared" si="42"/>
        <v/>
      </c>
      <c r="X674" t="str">
        <f t="shared" si="43"/>
        <v/>
      </c>
    </row>
    <row r="675" spans="1:24" ht="409.5" x14ac:dyDescent="0.25">
      <c r="A675" t="s">
        <v>3747</v>
      </c>
      <c r="B675" t="s">
        <v>3748</v>
      </c>
      <c r="C675" t="s">
        <v>3749</v>
      </c>
      <c r="F675" s="2" t="s">
        <v>3750</v>
      </c>
      <c r="L675" t="s">
        <v>24</v>
      </c>
      <c r="M675" t="s">
        <v>25</v>
      </c>
      <c r="O675" t="s">
        <v>26</v>
      </c>
      <c r="P675" t="s">
        <v>3751</v>
      </c>
      <c r="Q675" t="s">
        <v>28</v>
      </c>
      <c r="R675" s="3">
        <v>42982.425138888888</v>
      </c>
      <c r="T675" t="s">
        <v>1527</v>
      </c>
      <c r="U675" t="str">
        <f t="shared" si="40"/>
        <v>["ab4a73b6-1c2d-42e1-b4d9-049e04889cf0"]</v>
      </c>
      <c r="V675" t="str">
        <f t="shared" si="41"/>
        <v/>
      </c>
      <c r="W675" t="str">
        <f t="shared" si="42"/>
        <v/>
      </c>
      <c r="X675" t="str">
        <f t="shared" si="43"/>
        <v/>
      </c>
    </row>
    <row r="676" spans="1:24" ht="409.5" x14ac:dyDescent="0.25">
      <c r="A676" t="s">
        <v>3752</v>
      </c>
      <c r="B676" t="s">
        <v>3753</v>
      </c>
      <c r="C676" t="s">
        <v>3754</v>
      </c>
      <c r="F676" s="2" t="s">
        <v>3755</v>
      </c>
      <c r="L676" t="s">
        <v>24</v>
      </c>
      <c r="M676" t="s">
        <v>25</v>
      </c>
      <c r="O676" t="s">
        <v>26</v>
      </c>
      <c r="P676" t="s">
        <v>3756</v>
      </c>
      <c r="Q676" t="s">
        <v>28</v>
      </c>
      <c r="R676" s="3">
        <v>41207.906631944446</v>
      </c>
      <c r="T676" t="s">
        <v>3757</v>
      </c>
      <c r="U676" t="str">
        <f t="shared" si="40"/>
        <v>["4d519b42-72fe-4059-837a-560c6083542e", "4f18ca71-38e9-4d55-9064-bc5085a50608"]</v>
      </c>
      <c r="V676" t="str">
        <f t="shared" si="41"/>
        <v/>
      </c>
      <c r="W676" t="str">
        <f t="shared" si="42"/>
        <v/>
      </c>
      <c r="X676" t="str">
        <f t="shared" si="43"/>
        <v/>
      </c>
    </row>
    <row r="677" spans="1:24" ht="409.5" x14ac:dyDescent="0.25">
      <c r="A677" t="s">
        <v>3758</v>
      </c>
      <c r="B677" t="s">
        <v>3759</v>
      </c>
      <c r="C677" t="s">
        <v>3760</v>
      </c>
      <c r="F677" s="2" t="s">
        <v>3761</v>
      </c>
      <c r="L677" t="s">
        <v>24</v>
      </c>
      <c r="M677" t="s">
        <v>25</v>
      </c>
      <c r="O677" t="s">
        <v>26</v>
      </c>
      <c r="P677" t="s">
        <v>3762</v>
      </c>
      <c r="Q677" t="s">
        <v>28</v>
      </c>
      <c r="R677" s="3">
        <v>41221.601898148147</v>
      </c>
      <c r="T677" t="s">
        <v>29</v>
      </c>
      <c r="U677" t="str">
        <f t="shared" si="40"/>
        <v>[]</v>
      </c>
      <c r="V677" t="str">
        <f t="shared" si="41"/>
        <v/>
      </c>
      <c r="W677" t="str">
        <f t="shared" si="42"/>
        <v/>
      </c>
      <c r="X677" t="str">
        <f t="shared" si="43"/>
        <v/>
      </c>
    </row>
    <row r="678" spans="1:24" ht="409.5" x14ac:dyDescent="0.25">
      <c r="A678" t="s">
        <v>3763</v>
      </c>
      <c r="B678" t="s">
        <v>3764</v>
      </c>
      <c r="C678" t="s">
        <v>1179</v>
      </c>
      <c r="F678" s="2" t="s">
        <v>3765</v>
      </c>
      <c r="L678" t="s">
        <v>24</v>
      </c>
      <c r="M678" t="s">
        <v>25</v>
      </c>
      <c r="O678" t="s">
        <v>26</v>
      </c>
      <c r="P678" t="s">
        <v>3766</v>
      </c>
      <c r="Q678" t="s">
        <v>28</v>
      </c>
      <c r="R678" s="3">
        <v>41317.436157407406</v>
      </c>
      <c r="T678" t="s">
        <v>170</v>
      </c>
      <c r="U678" t="str">
        <f t="shared" si="40"/>
        <v>["6858b208-62bc-424e-9d7b-c89b74d3d3e3", "aa8876c7-9711-4969-b428-34400f2d0dbe"]</v>
      </c>
      <c r="V678" t="str">
        <f t="shared" si="41"/>
        <v/>
      </c>
      <c r="W678" t="str">
        <f t="shared" si="42"/>
        <v/>
      </c>
      <c r="X678" t="str">
        <f t="shared" si="43"/>
        <v/>
      </c>
    </row>
    <row r="679" spans="1:24" ht="409.5" x14ac:dyDescent="0.25">
      <c r="A679" t="s">
        <v>3767</v>
      </c>
      <c r="B679" t="s">
        <v>3768</v>
      </c>
      <c r="C679" t="s">
        <v>3769</v>
      </c>
      <c r="F679" s="2" t="s">
        <v>3770</v>
      </c>
      <c r="L679" t="s">
        <v>24</v>
      </c>
      <c r="M679" t="s">
        <v>25</v>
      </c>
      <c r="O679" t="s">
        <v>26</v>
      </c>
      <c r="P679" t="s">
        <v>3771</v>
      </c>
      <c r="Q679" t="s">
        <v>28</v>
      </c>
      <c r="R679" s="3">
        <v>41333.698055555556</v>
      </c>
      <c r="T679" t="s">
        <v>29</v>
      </c>
      <c r="U679" t="str">
        <f t="shared" si="40"/>
        <v>[]</v>
      </c>
      <c r="V679" t="str">
        <f t="shared" si="41"/>
        <v/>
      </c>
      <c r="W679" t="str">
        <f t="shared" si="42"/>
        <v/>
      </c>
      <c r="X679" t="str">
        <f t="shared" si="43"/>
        <v/>
      </c>
    </row>
    <row r="680" spans="1:24" ht="409.5" x14ac:dyDescent="0.25">
      <c r="A680" t="s">
        <v>3772</v>
      </c>
      <c r="B680" t="s">
        <v>3773</v>
      </c>
      <c r="C680" t="s">
        <v>3774</v>
      </c>
      <c r="F680" s="2" t="s">
        <v>3775</v>
      </c>
      <c r="L680" t="s">
        <v>24</v>
      </c>
      <c r="M680" t="s">
        <v>25</v>
      </c>
      <c r="O680" t="s">
        <v>26</v>
      </c>
      <c r="P680" t="s">
        <v>3776</v>
      </c>
      <c r="Q680" t="s">
        <v>28</v>
      </c>
      <c r="R680" s="3">
        <v>41333.732245370367</v>
      </c>
      <c r="T680" t="s">
        <v>29</v>
      </c>
      <c r="U680" t="str">
        <f t="shared" si="40"/>
        <v>[]</v>
      </c>
      <c r="V680" t="str">
        <f t="shared" si="41"/>
        <v/>
      </c>
      <c r="W680" t="str">
        <f t="shared" si="42"/>
        <v/>
      </c>
      <c r="X680" t="str">
        <f t="shared" si="43"/>
        <v/>
      </c>
    </row>
    <row r="681" spans="1:24" ht="409.5" x14ac:dyDescent="0.25">
      <c r="A681" t="s">
        <v>3777</v>
      </c>
      <c r="B681" t="s">
        <v>3778</v>
      </c>
      <c r="C681" t="s">
        <v>3779</v>
      </c>
      <c r="F681" s="2" t="s">
        <v>3780</v>
      </c>
      <c r="L681" t="s">
        <v>24</v>
      </c>
      <c r="M681" t="s">
        <v>25</v>
      </c>
      <c r="O681" t="s">
        <v>26</v>
      </c>
      <c r="P681" t="s">
        <v>3781</v>
      </c>
      <c r="Q681" t="s">
        <v>28</v>
      </c>
      <c r="R681" s="3">
        <v>41338.661724537036</v>
      </c>
      <c r="T681" t="s">
        <v>335</v>
      </c>
      <c r="U681" t="str">
        <f t="shared" si="40"/>
        <v>["3ff63cf5-8d04-4be5-9449-96411ae9fc36"]</v>
      </c>
      <c r="V681" t="str">
        <f t="shared" si="41"/>
        <v/>
      </c>
      <c r="W681" t="str">
        <f t="shared" si="42"/>
        <v/>
      </c>
      <c r="X681" t="str">
        <f t="shared" si="43"/>
        <v/>
      </c>
    </row>
    <row r="682" spans="1:24" ht="409.5" x14ac:dyDescent="0.25">
      <c r="A682" t="s">
        <v>3782</v>
      </c>
      <c r="B682" t="s">
        <v>3783</v>
      </c>
      <c r="C682" t="s">
        <v>3784</v>
      </c>
      <c r="F682" s="2" t="s">
        <v>3785</v>
      </c>
      <c r="L682" t="s">
        <v>24</v>
      </c>
      <c r="M682" t="s">
        <v>25</v>
      </c>
      <c r="O682" t="s">
        <v>26</v>
      </c>
      <c r="P682" t="s">
        <v>3786</v>
      </c>
      <c r="Q682" t="s">
        <v>28</v>
      </c>
      <c r="R682" s="3">
        <v>41519.483796296299</v>
      </c>
      <c r="T682" t="s">
        <v>1814</v>
      </c>
      <c r="U682" t="str">
        <f t="shared" si="40"/>
        <v>["522d3045-0b37-48d0-b868-57c99726b1c4", "21fca925-12ac-4215-ba1a-a9c73cb3b082"]</v>
      </c>
      <c r="V682" t="str">
        <f t="shared" si="41"/>
        <v/>
      </c>
      <c r="W682" t="str">
        <f t="shared" si="42"/>
        <v/>
      </c>
      <c r="X682" t="str">
        <f t="shared" si="43"/>
        <v/>
      </c>
    </row>
    <row r="683" spans="1:24" ht="409.5" x14ac:dyDescent="0.25">
      <c r="A683" t="s">
        <v>3787</v>
      </c>
      <c r="B683" t="s">
        <v>3788</v>
      </c>
      <c r="C683" t="s">
        <v>3789</v>
      </c>
      <c r="F683" s="2" t="s">
        <v>3790</v>
      </c>
      <c r="L683" t="s">
        <v>24</v>
      </c>
      <c r="M683" t="s">
        <v>25</v>
      </c>
      <c r="O683" t="s">
        <v>26</v>
      </c>
      <c r="P683" t="s">
        <v>3791</v>
      </c>
      <c r="Q683" t="s">
        <v>28</v>
      </c>
      <c r="R683" s="3">
        <v>41668.303229166668</v>
      </c>
      <c r="T683" t="s">
        <v>29</v>
      </c>
      <c r="U683" t="str">
        <f t="shared" si="40"/>
        <v>[]</v>
      </c>
      <c r="V683" t="str">
        <f t="shared" si="41"/>
        <v/>
      </c>
      <c r="W683" t="str">
        <f t="shared" si="42"/>
        <v/>
      </c>
      <c r="X683" t="str">
        <f t="shared" si="43"/>
        <v/>
      </c>
    </row>
    <row r="684" spans="1:24" ht="409.5" x14ac:dyDescent="0.25">
      <c r="A684" t="s">
        <v>3792</v>
      </c>
      <c r="B684" t="s">
        <v>3793</v>
      </c>
      <c r="C684" t="s">
        <v>738</v>
      </c>
      <c r="F684" s="2" t="s">
        <v>3794</v>
      </c>
      <c r="L684" t="s">
        <v>24</v>
      </c>
      <c r="M684" t="s">
        <v>25</v>
      </c>
      <c r="O684" t="s">
        <v>26</v>
      </c>
      <c r="P684" t="s">
        <v>3795</v>
      </c>
      <c r="Q684" t="s">
        <v>28</v>
      </c>
      <c r="R684" s="3">
        <v>41677.395451388889</v>
      </c>
      <c r="T684" t="s">
        <v>584</v>
      </c>
      <c r="U684" t="str">
        <f t="shared" si="40"/>
        <v>["36886c25-6961-4055-96b2-b3e8b138e588"]</v>
      </c>
      <c r="V684" t="str">
        <f t="shared" si="41"/>
        <v/>
      </c>
      <c r="W684" t="str">
        <f t="shared" si="42"/>
        <v/>
      </c>
      <c r="X684" t="str">
        <f t="shared" si="43"/>
        <v/>
      </c>
    </row>
    <row r="685" spans="1:24" ht="409.5" x14ac:dyDescent="0.25">
      <c r="A685" t="s">
        <v>3796</v>
      </c>
      <c r="B685" t="s">
        <v>3797</v>
      </c>
      <c r="C685" t="s">
        <v>3798</v>
      </c>
      <c r="F685" s="2" t="s">
        <v>3799</v>
      </c>
      <c r="L685" t="s">
        <v>24</v>
      </c>
      <c r="M685" t="s">
        <v>25</v>
      </c>
      <c r="O685" t="s">
        <v>26</v>
      </c>
      <c r="P685" t="s">
        <v>3800</v>
      </c>
      <c r="Q685" t="s">
        <v>28</v>
      </c>
      <c r="R685" s="3">
        <v>41711.655601851853</v>
      </c>
      <c r="T685" t="s">
        <v>29</v>
      </c>
      <c r="U685" t="str">
        <f t="shared" si="40"/>
        <v>[]</v>
      </c>
      <c r="V685" t="str">
        <f t="shared" si="41"/>
        <v/>
      </c>
      <c r="W685" t="str">
        <f t="shared" si="42"/>
        <v/>
      </c>
      <c r="X685" t="str">
        <f t="shared" si="43"/>
        <v/>
      </c>
    </row>
    <row r="686" spans="1:24" ht="409.5" x14ac:dyDescent="0.25">
      <c r="A686" t="s">
        <v>3801</v>
      </c>
      <c r="B686" t="s">
        <v>3802</v>
      </c>
      <c r="C686" t="s">
        <v>3803</v>
      </c>
      <c r="F686" s="2" t="s">
        <v>3804</v>
      </c>
      <c r="L686" t="s">
        <v>24</v>
      </c>
      <c r="M686" t="s">
        <v>25</v>
      </c>
      <c r="O686" t="s">
        <v>26</v>
      </c>
      <c r="P686" t="s">
        <v>3805</v>
      </c>
      <c r="Q686" t="s">
        <v>28</v>
      </c>
      <c r="R686" s="3">
        <v>41726.634942129633</v>
      </c>
      <c r="T686" t="s">
        <v>29</v>
      </c>
      <c r="U686" t="str">
        <f t="shared" si="40"/>
        <v>[]</v>
      </c>
      <c r="V686" t="str">
        <f t="shared" si="41"/>
        <v/>
      </c>
      <c r="W686" t="str">
        <f t="shared" si="42"/>
        <v/>
      </c>
      <c r="X686" t="str">
        <f t="shared" si="43"/>
        <v/>
      </c>
    </row>
    <row r="687" spans="1:24" ht="409.5" x14ac:dyDescent="0.25">
      <c r="A687" t="s">
        <v>3806</v>
      </c>
      <c r="B687" t="s">
        <v>3807</v>
      </c>
      <c r="C687" t="s">
        <v>3808</v>
      </c>
      <c r="F687" s="2" t="s">
        <v>3809</v>
      </c>
      <c r="L687" t="s">
        <v>24</v>
      </c>
      <c r="M687" t="s">
        <v>25</v>
      </c>
      <c r="O687" t="s">
        <v>26</v>
      </c>
      <c r="P687" t="s">
        <v>3810</v>
      </c>
      <c r="Q687" t="s">
        <v>28</v>
      </c>
      <c r="R687" s="3">
        <v>43223.448611111111</v>
      </c>
      <c r="T687" t="s">
        <v>3811</v>
      </c>
      <c r="U687" t="str">
        <f t="shared" si="40"/>
        <v>["946a1d1c-27ea-49d4-93be-9ac68b399a20", "6d92970a-d698-418b-8576-f3b03dc1a59a", "25267974-6d44-455e-b76f-248e29ff7df7", "a14e57c4-ea1c-4a7a-863a-b874ccf23790", "5e6175cd-dc44-4b32-a64a-1ac4239a6e4a"]</v>
      </c>
      <c r="V687" t="str">
        <f t="shared" si="41"/>
        <v/>
      </c>
      <c r="W687" t="str">
        <f t="shared" si="42"/>
        <v/>
      </c>
      <c r="X687" t="str">
        <f t="shared" si="43"/>
        <v/>
      </c>
    </row>
    <row r="688" spans="1:24" ht="409.5" x14ac:dyDescent="0.25">
      <c r="A688" t="s">
        <v>3812</v>
      </c>
      <c r="B688" t="s">
        <v>3813</v>
      </c>
      <c r="C688" t="s">
        <v>3814</v>
      </c>
      <c r="F688" s="2" t="s">
        <v>3815</v>
      </c>
      <c r="L688" t="s">
        <v>24</v>
      </c>
      <c r="M688" t="s">
        <v>25</v>
      </c>
      <c r="O688" t="s">
        <v>26</v>
      </c>
      <c r="P688" t="s">
        <v>3816</v>
      </c>
      <c r="Q688" t="s">
        <v>28</v>
      </c>
      <c r="R688" s="3">
        <v>43087.64984953704</v>
      </c>
      <c r="T688" t="s">
        <v>3817</v>
      </c>
      <c r="U688" t="str">
        <f t="shared" si="40"/>
        <v>["254757be-69ef-4a6c-a4c1-1432815d7522"]</v>
      </c>
      <c r="V688" t="str">
        <f t="shared" si="41"/>
        <v/>
      </c>
      <c r="W688" t="str">
        <f t="shared" si="42"/>
        <v/>
      </c>
      <c r="X688" t="str">
        <f t="shared" si="43"/>
        <v/>
      </c>
    </row>
    <row r="689" spans="1:24" ht="409.5" x14ac:dyDescent="0.25">
      <c r="A689" t="s">
        <v>3818</v>
      </c>
      <c r="B689" t="s">
        <v>3819</v>
      </c>
      <c r="C689" t="s">
        <v>3820</v>
      </c>
      <c r="F689" s="2" t="s">
        <v>3821</v>
      </c>
      <c r="L689" t="s">
        <v>24</v>
      </c>
      <c r="M689" t="s">
        <v>25</v>
      </c>
      <c r="O689" t="s">
        <v>26</v>
      </c>
      <c r="P689" t="s">
        <v>3822</v>
      </c>
      <c r="Q689" t="s">
        <v>28</v>
      </c>
      <c r="R689" s="3">
        <v>42982.599456018521</v>
      </c>
      <c r="T689" t="s">
        <v>1527</v>
      </c>
      <c r="U689" t="str">
        <f t="shared" si="40"/>
        <v>["ab4a73b6-1c2d-42e1-b4d9-049e04889cf0"]</v>
      </c>
      <c r="V689" t="str">
        <f t="shared" si="41"/>
        <v/>
      </c>
      <c r="W689" t="str">
        <f t="shared" si="42"/>
        <v/>
      </c>
      <c r="X689" t="str">
        <f t="shared" si="43"/>
        <v/>
      </c>
    </row>
    <row r="690" spans="1:24" ht="409.5" x14ac:dyDescent="0.25">
      <c r="A690" t="s">
        <v>3823</v>
      </c>
      <c r="B690" t="s">
        <v>3824</v>
      </c>
      <c r="C690" t="s">
        <v>3824</v>
      </c>
      <c r="F690" s="2" t="s">
        <v>3825</v>
      </c>
      <c r="L690" t="s">
        <v>24</v>
      </c>
      <c r="M690" t="s">
        <v>25</v>
      </c>
      <c r="O690" t="s">
        <v>26</v>
      </c>
      <c r="P690" t="s">
        <v>3826</v>
      </c>
      <c r="Q690" t="s">
        <v>28</v>
      </c>
      <c r="R690" s="3">
        <v>42803.655428240738</v>
      </c>
      <c r="T690" t="s">
        <v>674</v>
      </c>
      <c r="U690" t="str">
        <f t="shared" si="40"/>
        <v>["522d3045-0b37-48d0-b868-57c99726b1c4"]</v>
      </c>
      <c r="V690" t="str">
        <f t="shared" si="41"/>
        <v/>
      </c>
      <c r="W690" t="str">
        <f t="shared" si="42"/>
        <v/>
      </c>
      <c r="X690" t="str">
        <f t="shared" si="43"/>
        <v/>
      </c>
    </row>
    <row r="691" spans="1:24" ht="409.5" x14ac:dyDescent="0.25">
      <c r="A691" t="s">
        <v>3827</v>
      </c>
      <c r="B691" t="s">
        <v>3828</v>
      </c>
      <c r="C691" t="s">
        <v>3829</v>
      </c>
      <c r="F691" s="2" t="s">
        <v>3830</v>
      </c>
      <c r="L691" t="s">
        <v>24</v>
      </c>
      <c r="M691" t="s">
        <v>25</v>
      </c>
      <c r="O691" t="s">
        <v>26</v>
      </c>
      <c r="P691" t="s">
        <v>3831</v>
      </c>
      <c r="Q691" t="s">
        <v>28</v>
      </c>
      <c r="R691" s="3">
        <v>42446.472974537035</v>
      </c>
      <c r="T691" t="s">
        <v>29</v>
      </c>
      <c r="U691" t="str">
        <f t="shared" si="40"/>
        <v>[]</v>
      </c>
      <c r="V691" t="str">
        <f t="shared" si="41"/>
        <v/>
      </c>
      <c r="W691" t="str">
        <f t="shared" si="42"/>
        <v/>
      </c>
      <c r="X691" t="str">
        <f t="shared" si="43"/>
        <v/>
      </c>
    </row>
    <row r="692" spans="1:24" ht="409.5" x14ac:dyDescent="0.25">
      <c r="A692" t="s">
        <v>3832</v>
      </c>
      <c r="B692" t="s">
        <v>3833</v>
      </c>
      <c r="C692" t="s">
        <v>3834</v>
      </c>
      <c r="F692" s="2" t="s">
        <v>3835</v>
      </c>
      <c r="L692" t="s">
        <v>24</v>
      </c>
      <c r="M692" t="s">
        <v>25</v>
      </c>
      <c r="O692" t="s">
        <v>26</v>
      </c>
      <c r="P692" t="s">
        <v>3836</v>
      </c>
      <c r="Q692" t="s">
        <v>28</v>
      </c>
      <c r="R692" s="3">
        <v>41523.377164351848</v>
      </c>
      <c r="T692" t="s">
        <v>3837</v>
      </c>
      <c r="U692" t="str">
        <f t="shared" si="40"/>
        <v>["d3c0a223-516b-4049-9370-22881a0428d8", "7562f659-398d-46d7-9167-7f9ccaa00263", "522d3045-0b37-48d0-b868-57c99726b1c4"]</v>
      </c>
      <c r="V692" t="str">
        <f t="shared" si="41"/>
        <v/>
      </c>
      <c r="W692" t="str">
        <f t="shared" si="42"/>
        <v/>
      </c>
      <c r="X692" t="str">
        <f t="shared" si="43"/>
        <v/>
      </c>
    </row>
    <row r="693" spans="1:24" ht="409.5" x14ac:dyDescent="0.25">
      <c r="A693" t="s">
        <v>3838</v>
      </c>
      <c r="B693" t="s">
        <v>3839</v>
      </c>
      <c r="C693" t="s">
        <v>3840</v>
      </c>
      <c r="F693" s="2" t="s">
        <v>3841</v>
      </c>
      <c r="L693" t="s">
        <v>24</v>
      </c>
      <c r="M693" t="s">
        <v>25</v>
      </c>
      <c r="O693" t="s">
        <v>26</v>
      </c>
      <c r="P693" t="s">
        <v>3842</v>
      </c>
      <c r="Q693" t="s">
        <v>28</v>
      </c>
      <c r="R693" s="3">
        <v>41995.528680555559</v>
      </c>
      <c r="T693" t="s">
        <v>3843</v>
      </c>
      <c r="U693" t="str">
        <f t="shared" si="40"/>
        <v>["522d3045-0b37-48d0-b868-57c99726b1c4", "21fca925-12ac-4215-ba1a-a9c73cb3b082", "d3c0a223-516b-4049-9370-22881a0428d8", "884c0d9f-f790-41c2-a2a5-351b7c434896", "7562f659-398d-46d7-9167-7f9ccaa00263"]</v>
      </c>
      <c r="V693" t="str">
        <f t="shared" si="41"/>
        <v/>
      </c>
      <c r="W693" t="str">
        <f t="shared" si="42"/>
        <v/>
      </c>
      <c r="X693" t="str">
        <f t="shared" si="43"/>
        <v/>
      </c>
    </row>
    <row r="694" spans="1:24" ht="409.5" x14ac:dyDescent="0.25">
      <c r="A694" t="s">
        <v>3844</v>
      </c>
      <c r="B694" t="s">
        <v>3845</v>
      </c>
      <c r="C694" t="s">
        <v>3846</v>
      </c>
      <c r="F694" s="2" t="s">
        <v>3847</v>
      </c>
      <c r="L694" t="s">
        <v>24</v>
      </c>
      <c r="M694" t="s">
        <v>25</v>
      </c>
      <c r="O694" t="s">
        <v>26</v>
      </c>
      <c r="P694" t="s">
        <v>3848</v>
      </c>
      <c r="Q694" t="s">
        <v>28</v>
      </c>
      <c r="R694" s="3">
        <v>41215.88008101852</v>
      </c>
      <c r="T694" t="s">
        <v>3849</v>
      </c>
      <c r="U694" t="str">
        <f t="shared" si="40"/>
        <v>["7562f659-398d-46d7-9167-7f9ccaa00263", "884c0d9f-f790-41c2-a2a5-351b7c434896", "d3c0a223-516b-4049-9370-22881a0428d8"]</v>
      </c>
      <c r="V694" t="str">
        <f t="shared" si="41"/>
        <v/>
      </c>
      <c r="W694" t="str">
        <f t="shared" si="42"/>
        <v/>
      </c>
      <c r="X694" t="str">
        <f t="shared" si="43"/>
        <v/>
      </c>
    </row>
    <row r="695" spans="1:24" ht="409.5" x14ac:dyDescent="0.25">
      <c r="A695" t="s">
        <v>3850</v>
      </c>
      <c r="B695" t="s">
        <v>3851</v>
      </c>
      <c r="C695" t="s">
        <v>3852</v>
      </c>
      <c r="F695" s="2" t="s">
        <v>3853</v>
      </c>
      <c r="L695" t="s">
        <v>24</v>
      </c>
      <c r="M695" t="s">
        <v>25</v>
      </c>
      <c r="O695" t="s">
        <v>26</v>
      </c>
      <c r="P695" t="s">
        <v>3854</v>
      </c>
      <c r="Q695" t="s">
        <v>28</v>
      </c>
      <c r="R695" s="3">
        <v>41341.431851851848</v>
      </c>
      <c r="T695" t="s">
        <v>3855</v>
      </c>
      <c r="U695" t="str">
        <f t="shared" si="40"/>
        <v>["b2068d46-de7f-4a22-a563-4dea59b1e6f2", "7562f659-398d-46d7-9167-7f9ccaa00263", "b77d0b46-306c-46da-b26d-6e4dd718fde7", "3cca23c2-2aa6-4421-96db-8b914de62d56", "c6bbfc6f-6700-40eb-9537-ab182075c8f8", "d61ed212-9915-4018-a350-caecfda3e0c6", "53b70911-67ee-459b-a573-130272275a91", "d780bf4f-063e-4c21-bb28-62c8d1d79cdc", "a7bfaed4-c1df-4448-894b-8effdfaed52d", "fa02a3b3-deaf-49c2-8276-ed0393e61574", "f35b2a10-4d8b-40f3-9eb7-15d84c2f7f58", "1ac8b693-987f-47bd-ac7b-f432b01a04a3", "46825ece-d165-4b64-bea7-8964b8afdfe3", "e34d45e3-070b-44e7-9a65-7c268fa79fc7"]</v>
      </c>
      <c r="V695" t="str">
        <f t="shared" si="41"/>
        <v/>
      </c>
      <c r="W695" t="str">
        <f t="shared" si="42"/>
        <v/>
      </c>
      <c r="X695" t="str">
        <f t="shared" si="43"/>
        <v/>
      </c>
    </row>
    <row r="696" spans="1:24" ht="409.5" x14ac:dyDescent="0.25">
      <c r="A696" t="s">
        <v>3856</v>
      </c>
      <c r="B696" t="s">
        <v>3857</v>
      </c>
      <c r="C696" t="s">
        <v>3858</v>
      </c>
      <c r="F696" s="2" t="s">
        <v>3859</v>
      </c>
      <c r="L696" t="s">
        <v>24</v>
      </c>
      <c r="M696" t="s">
        <v>25</v>
      </c>
      <c r="O696" t="s">
        <v>26</v>
      </c>
      <c r="P696" t="s">
        <v>3860</v>
      </c>
      <c r="Q696" t="s">
        <v>28</v>
      </c>
      <c r="R696" s="3">
        <v>41190.569386574076</v>
      </c>
      <c r="T696" t="s">
        <v>99</v>
      </c>
      <c r="U696" t="str">
        <f t="shared" si="40"/>
        <v>["c91a4635-8b7d-43fe-9b27-d95dec8392a7"]</v>
      </c>
      <c r="V696" t="str">
        <f t="shared" si="41"/>
        <v/>
      </c>
      <c r="W696" t="str">
        <f t="shared" si="42"/>
        <v/>
      </c>
      <c r="X696" t="str">
        <f t="shared" si="43"/>
        <v/>
      </c>
    </row>
    <row r="697" spans="1:24" ht="409.5" x14ac:dyDescent="0.25">
      <c r="A697" t="s">
        <v>3861</v>
      </c>
      <c r="B697" t="s">
        <v>3862</v>
      </c>
      <c r="C697" t="s">
        <v>3863</v>
      </c>
      <c r="F697" s="2" t="s">
        <v>3864</v>
      </c>
      <c r="L697" t="s">
        <v>24</v>
      </c>
      <c r="M697" t="s">
        <v>25</v>
      </c>
      <c r="O697" t="s">
        <v>26</v>
      </c>
      <c r="P697" t="s">
        <v>3865</v>
      </c>
      <c r="Q697" t="s">
        <v>28</v>
      </c>
      <c r="R697" s="3">
        <v>41348.649733796294</v>
      </c>
      <c r="T697" t="s">
        <v>3866</v>
      </c>
      <c r="U697" t="str">
        <f t="shared" si="40"/>
        <v>["038920bb-8c40-4a30-8d0c-0a29bcd64751", "ff1480b5-61f2-4008-aada-387c2c490549", "02eb8854-42a2-44cc-b8f1-abd5cfbd00c9"]</v>
      </c>
      <c r="V697" t="str">
        <f t="shared" si="41"/>
        <v/>
      </c>
      <c r="W697" t="str">
        <f t="shared" si="42"/>
        <v/>
      </c>
      <c r="X697" t="str">
        <f t="shared" si="43"/>
        <v/>
      </c>
    </row>
    <row r="698" spans="1:24" ht="409.5" x14ac:dyDescent="0.25">
      <c r="A698" t="s">
        <v>3867</v>
      </c>
      <c r="B698" t="s">
        <v>3868</v>
      </c>
      <c r="C698" t="s">
        <v>3869</v>
      </c>
      <c r="F698" s="2" t="s">
        <v>3870</v>
      </c>
      <c r="L698" t="s">
        <v>24</v>
      </c>
      <c r="M698" t="s">
        <v>25</v>
      </c>
      <c r="O698" t="s">
        <v>26</v>
      </c>
      <c r="P698" t="s">
        <v>3871</v>
      </c>
      <c r="Q698" t="s">
        <v>28</v>
      </c>
      <c r="R698" s="3">
        <v>41529.397557870368</v>
      </c>
      <c r="T698" t="s">
        <v>674</v>
      </c>
      <c r="U698" t="str">
        <f t="shared" si="40"/>
        <v>["522d3045-0b37-48d0-b868-57c99726b1c4"]</v>
      </c>
      <c r="V698" t="str">
        <f t="shared" si="41"/>
        <v/>
      </c>
      <c r="W698" t="str">
        <f t="shared" si="42"/>
        <v/>
      </c>
      <c r="X698" t="str">
        <f t="shared" si="43"/>
        <v/>
      </c>
    </row>
    <row r="699" spans="1:24" ht="409.5" x14ac:dyDescent="0.25">
      <c r="A699" t="s">
        <v>3872</v>
      </c>
      <c r="B699" t="s">
        <v>3873</v>
      </c>
      <c r="C699" t="s">
        <v>3874</v>
      </c>
      <c r="F699" s="2" t="s">
        <v>3875</v>
      </c>
      <c r="L699" t="s">
        <v>24</v>
      </c>
      <c r="M699" t="s">
        <v>25</v>
      </c>
      <c r="O699" t="s">
        <v>26</v>
      </c>
      <c r="P699" t="s">
        <v>3876</v>
      </c>
      <c r="Q699" t="s">
        <v>28</v>
      </c>
      <c r="R699" s="3">
        <v>41190.567037037035</v>
      </c>
      <c r="T699" t="s">
        <v>29</v>
      </c>
      <c r="U699" t="str">
        <f t="shared" si="40"/>
        <v>[]</v>
      </c>
      <c r="V699" t="str">
        <f t="shared" si="41"/>
        <v/>
      </c>
      <c r="W699" t="str">
        <f t="shared" si="42"/>
        <v/>
      </c>
      <c r="X699" t="str">
        <f t="shared" si="43"/>
        <v/>
      </c>
    </row>
    <row r="700" spans="1:24" ht="409.5" x14ac:dyDescent="0.25">
      <c r="A700" t="s">
        <v>3877</v>
      </c>
      <c r="B700" t="s">
        <v>3878</v>
      </c>
      <c r="C700" t="s">
        <v>3879</v>
      </c>
      <c r="F700" s="2" t="s">
        <v>3880</v>
      </c>
      <c r="L700" t="s">
        <v>24</v>
      </c>
      <c r="M700" t="s">
        <v>25</v>
      </c>
      <c r="O700" t="s">
        <v>26</v>
      </c>
      <c r="P700" t="s">
        <v>3881</v>
      </c>
      <c r="Q700" t="s">
        <v>28</v>
      </c>
      <c r="R700" s="3">
        <v>42213.480891203704</v>
      </c>
      <c r="T700" t="s">
        <v>433</v>
      </c>
      <c r="U700" t="str">
        <f t="shared" si="40"/>
        <v>["2c54f4d6-5712-4e5a-a025-b7f7a396c39b"]</v>
      </c>
      <c r="V700" t="str">
        <f t="shared" si="41"/>
        <v/>
      </c>
      <c r="W700" t="str">
        <f t="shared" si="42"/>
        <v/>
      </c>
      <c r="X700" t="str">
        <f t="shared" si="43"/>
        <v/>
      </c>
    </row>
    <row r="701" spans="1:24" ht="409.5" x14ac:dyDescent="0.25">
      <c r="A701" t="s">
        <v>3882</v>
      </c>
      <c r="B701" t="s">
        <v>3883</v>
      </c>
      <c r="C701" t="s">
        <v>3884</v>
      </c>
      <c r="F701" s="2" t="s">
        <v>3885</v>
      </c>
      <c r="L701" t="s">
        <v>24</v>
      </c>
      <c r="M701" t="s">
        <v>25</v>
      </c>
      <c r="O701" t="s">
        <v>26</v>
      </c>
      <c r="P701" t="s">
        <v>3886</v>
      </c>
      <c r="Q701" t="s">
        <v>3887</v>
      </c>
      <c r="R701" t="s">
        <v>3888</v>
      </c>
      <c r="T701" t="s">
        <v>3889</v>
      </c>
      <c r="U701" t="str">
        <f t="shared" si="40"/>
        <v>["86d88cae-ad97-4476-bae5-73488a12776d", "c1ba372b-dba2-4bce-b72e-b5c832eaaf44", "1ea3d3e8-fa07-4c37-af68-eb588d439de2", "0adc90c9-ac6b-47ef-aa83-b7780594720c", "a73c5b74-a9c9-4caa-a796-e4c832645614", "298e6b5a-21a8-4d56-9484-1bac58c94a26", "9586a616-48e4-46c8-b418-1432f2515407"]</v>
      </c>
      <c r="V701" t="str">
        <f t="shared" si="41"/>
        <v/>
      </c>
      <c r="W701" t="str">
        <f t="shared" si="42"/>
        <v/>
      </c>
      <c r="X701" t="str">
        <f t="shared" si="43"/>
        <v/>
      </c>
    </row>
    <row r="702" spans="1:24" ht="409.5" x14ac:dyDescent="0.25">
      <c r="A702" t="s">
        <v>3890</v>
      </c>
      <c r="B702" t="s">
        <v>3891</v>
      </c>
      <c r="C702" t="s">
        <v>3892</v>
      </c>
      <c r="F702" s="2" t="s">
        <v>3893</v>
      </c>
      <c r="L702" t="s">
        <v>24</v>
      </c>
      <c r="M702" t="s">
        <v>25</v>
      </c>
      <c r="O702" t="s">
        <v>26</v>
      </c>
      <c r="P702" t="s">
        <v>3894</v>
      </c>
      <c r="Q702" t="s">
        <v>28</v>
      </c>
      <c r="R702" s="3">
        <v>43803.646979166668</v>
      </c>
      <c r="T702" t="s">
        <v>3895</v>
      </c>
      <c r="U702" t="str">
        <f t="shared" si="40"/>
        <v>["13a9f9d7-f013-4b12-a990-387714039247", "2c54f4d6-5712-4e5a-a025-b7f7a396c39b", "566c99be-b436-365e-af4f-27be6c536358", "5c74388f-200b-3deb-9043-eeb1e7d7b53a", "3fefc838-791d-4dde-975b-a4131a54e7c5"]</v>
      </c>
      <c r="V702" t="str">
        <f t="shared" si="41"/>
        <v/>
      </c>
      <c r="W702" t="str">
        <f t="shared" si="42"/>
        <v/>
      </c>
      <c r="X702" t="str">
        <f t="shared" si="43"/>
        <v/>
      </c>
    </row>
    <row r="703" spans="1:24" x14ac:dyDescent="0.25">
      <c r="A703" t="s">
        <v>3896</v>
      </c>
      <c r="B703" t="s">
        <v>3897</v>
      </c>
      <c r="C703" t="s">
        <v>3898</v>
      </c>
      <c r="F703" t="s">
        <v>3899</v>
      </c>
      <c r="L703" t="s">
        <v>24</v>
      </c>
      <c r="M703" t="s">
        <v>25</v>
      </c>
      <c r="O703" t="s">
        <v>26</v>
      </c>
      <c r="P703" t="s">
        <v>3900</v>
      </c>
      <c r="Q703" t="s">
        <v>3887</v>
      </c>
      <c r="R703" t="s">
        <v>3901</v>
      </c>
      <c r="T703" t="s">
        <v>433</v>
      </c>
      <c r="U703" t="str">
        <f t="shared" si="40"/>
        <v>["2c54f4d6-5712-4e5a-a025-b7f7a396c39b"]</v>
      </c>
      <c r="V703" t="str">
        <f t="shared" si="41"/>
        <v/>
      </c>
      <c r="W703" t="str">
        <f t="shared" si="42"/>
        <v/>
      </c>
      <c r="X703" t="str">
        <f t="shared" si="43"/>
        <v/>
      </c>
    </row>
    <row r="704" spans="1:24" ht="409.5" x14ac:dyDescent="0.25">
      <c r="A704" t="s">
        <v>3902</v>
      </c>
      <c r="B704" t="s">
        <v>3903</v>
      </c>
      <c r="C704" t="s">
        <v>3904</v>
      </c>
      <c r="F704" s="2" t="s">
        <v>3905</v>
      </c>
      <c r="L704" t="s">
        <v>24</v>
      </c>
      <c r="M704" t="s">
        <v>25</v>
      </c>
      <c r="O704" t="s">
        <v>26</v>
      </c>
      <c r="P704" t="s">
        <v>3906</v>
      </c>
      <c r="Q704" t="s">
        <v>28</v>
      </c>
      <c r="R704" s="3">
        <v>43958.597951388889</v>
      </c>
      <c r="T704" t="s">
        <v>3907</v>
      </c>
      <c r="U704" t="str">
        <f t="shared" si="40"/>
        <v>["36a8b9e9-909e-4605-a7ba-686ee3e1b8bf", "f1f6f15d-2faa-4b62-b78b-80599dd1c66e", "627a9226-a907-4018-89e3-878002a9d22b", "97ef14eb-f280-48a7-96c0-df03859b06c2", "5e6175cd-dc44-4b32-a64a-1ac4239a6e4a", "28a7419c-f432-4e1a-b0a6-aa9e71968a14", "22add642-d849-48ff-9913-8c7ba2d99b46", "cabad01a-8cc7-48c0-b7e8-ffbe1e685b26", "bd8b518b-d812-46f9-b367-4c1b660cfc99", "898afe8c-0297-45d6-b4b5-0cb9e632094b", "71084c02-973d-4544-b804-7ed82bd53027", "2adc5a86-faa3-4b63-acff-a66128b811b7", "87f121a7-eef0-4be9-9372-a5efe5b4d375", "c1ba372b-dba2-4bce-b72e-b5c832eaaf44", "2c54f4d6-5712-4e5a-a025-b7f7a396c39b"]</v>
      </c>
      <c r="V704" t="str">
        <f t="shared" si="41"/>
        <v/>
      </c>
      <c r="W704" t="str">
        <f t="shared" si="42"/>
        <v/>
      </c>
      <c r="X704" t="str">
        <f t="shared" si="43"/>
        <v/>
      </c>
    </row>
    <row r="705" spans="1:24" ht="409.5" x14ac:dyDescent="0.25">
      <c r="A705" s="4" t="s">
        <v>3908</v>
      </c>
      <c r="B705" t="s">
        <v>3909</v>
      </c>
      <c r="C705" t="s">
        <v>3910</v>
      </c>
      <c r="F705" s="2" t="s">
        <v>3911</v>
      </c>
      <c r="L705" t="s">
        <v>24</v>
      </c>
      <c r="M705" t="s">
        <v>25</v>
      </c>
      <c r="O705" t="s">
        <v>26</v>
      </c>
      <c r="P705" t="s">
        <v>3912</v>
      </c>
      <c r="Q705" t="s">
        <v>28</v>
      </c>
      <c r="R705" s="3">
        <v>43976.354699074072</v>
      </c>
      <c r="T705" t="s">
        <v>3913</v>
      </c>
      <c r="U705" t="str">
        <f t="shared" si="40"/>
        <v>["3765ed62-0f9d-49ad-83b0-1405ed833108", "2f6649b6-2b2d-49a9-ab31-6c7e43728001", "ef8e980b-9644-45d8-b0e9-c6aaf0eff0c0", "4b71eb3d-7d55-4967-b80d-91a3f220b60c", "846448a5-a26e-4297-ac08-ad7040af20f1"]</v>
      </c>
      <c r="V705" t="str">
        <f t="shared" si="41"/>
        <v/>
      </c>
      <c r="W705" t="str">
        <f t="shared" si="42"/>
        <v/>
      </c>
      <c r="X705" t="str">
        <f t="shared" si="43"/>
        <v/>
      </c>
    </row>
    <row r="706" spans="1:24" ht="409.5" x14ac:dyDescent="0.25">
      <c r="A706" t="s">
        <v>3914</v>
      </c>
      <c r="B706" t="s">
        <v>3915</v>
      </c>
      <c r="C706" t="s">
        <v>3916</v>
      </c>
      <c r="F706" s="2" t="s">
        <v>3917</v>
      </c>
      <c r="L706" t="s">
        <v>24</v>
      </c>
      <c r="M706" t="s">
        <v>25</v>
      </c>
      <c r="O706" t="s">
        <v>26</v>
      </c>
      <c r="P706" t="s">
        <v>3918</v>
      </c>
      <c r="Q706" t="s">
        <v>28</v>
      </c>
      <c r="R706" s="3">
        <v>44155.438090277778</v>
      </c>
      <c r="T706" t="s">
        <v>3919</v>
      </c>
      <c r="U706" t="str">
        <f t="shared" si="40"/>
        <v>["aee4c9b5-8c7f-4248-b909-3335d93ac08a", "ad122534-f82a-438b-835e-d1fb1341bff7"]</v>
      </c>
      <c r="V706" t="str">
        <f t="shared" si="41"/>
        <v/>
      </c>
      <c r="W706" t="str">
        <f t="shared" si="42"/>
        <v/>
      </c>
      <c r="X706" t="str">
        <f t="shared" si="43"/>
        <v/>
      </c>
    </row>
    <row r="707" spans="1:24" ht="409.5" x14ac:dyDescent="0.25">
      <c r="A707" t="s">
        <v>3920</v>
      </c>
      <c r="B707" t="s">
        <v>3921</v>
      </c>
      <c r="C707" t="s">
        <v>3922</v>
      </c>
      <c r="F707" s="2" t="s">
        <v>3923</v>
      </c>
      <c r="L707" t="s">
        <v>24</v>
      </c>
      <c r="M707" t="s">
        <v>25</v>
      </c>
      <c r="O707" t="s">
        <v>26</v>
      </c>
      <c r="P707" t="s">
        <v>3924</v>
      </c>
      <c r="Q707" t="s">
        <v>28</v>
      </c>
      <c r="R707" s="3">
        <v>43936.495706018519</v>
      </c>
      <c r="T707" t="s">
        <v>2388</v>
      </c>
      <c r="U707" t="str">
        <f t="shared" ref="U707:U746" si="44">LEFT(T707, 1024)</f>
        <v>["ef8e980b-9644-45d8-b0e9-c6aaf0eff0c0"]</v>
      </c>
      <c r="V707" t="str">
        <f t="shared" ref="V707:V746" si="45">MID(T707, 1025, 1024)</f>
        <v/>
      </c>
      <c r="W707" t="str">
        <f t="shared" ref="W707:W746" si="46">MID(T707, 2049, 1024)</f>
        <v/>
      </c>
      <c r="X707" t="str">
        <f t="shared" ref="X707:X746" si="47">MID(T707, 3073, 1024)</f>
        <v/>
      </c>
    </row>
    <row r="708" spans="1:24" ht="409.5" x14ac:dyDescent="0.25">
      <c r="A708" t="s">
        <v>3925</v>
      </c>
      <c r="B708" t="s">
        <v>3926</v>
      </c>
      <c r="C708" t="s">
        <v>3927</v>
      </c>
      <c r="F708" s="2" t="s">
        <v>3928</v>
      </c>
      <c r="L708" t="s">
        <v>24</v>
      </c>
      <c r="M708" t="s">
        <v>25</v>
      </c>
      <c r="O708" t="s">
        <v>26</v>
      </c>
      <c r="P708" t="s">
        <v>3929</v>
      </c>
      <c r="Q708" t="s">
        <v>28</v>
      </c>
      <c r="R708" s="3">
        <v>43935.79184027778</v>
      </c>
      <c r="T708" t="s">
        <v>2388</v>
      </c>
      <c r="U708" t="str">
        <f t="shared" si="44"/>
        <v>["ef8e980b-9644-45d8-b0e9-c6aaf0eff0c0"]</v>
      </c>
      <c r="V708" t="str">
        <f t="shared" si="45"/>
        <v/>
      </c>
      <c r="W708" t="str">
        <f t="shared" si="46"/>
        <v/>
      </c>
      <c r="X708" t="str">
        <f t="shared" si="47"/>
        <v/>
      </c>
    </row>
    <row r="709" spans="1:24" ht="409.5" x14ac:dyDescent="0.25">
      <c r="A709" t="s">
        <v>3930</v>
      </c>
      <c r="B709" t="s">
        <v>3931</v>
      </c>
      <c r="C709" t="s">
        <v>3932</v>
      </c>
      <c r="F709" s="2" t="s">
        <v>3933</v>
      </c>
      <c r="L709" t="s">
        <v>24</v>
      </c>
      <c r="M709" t="s">
        <v>25</v>
      </c>
      <c r="O709" t="s">
        <v>26</v>
      </c>
      <c r="P709" t="s">
        <v>3934</v>
      </c>
      <c r="Q709" t="s">
        <v>28</v>
      </c>
      <c r="R709" s="3">
        <v>43987.53869212963</v>
      </c>
      <c r="T709" t="s">
        <v>1967</v>
      </c>
      <c r="U709" t="str">
        <f t="shared" si="44"/>
        <v>["4b71eb3d-7d55-4967-b80d-91a3f220b60c"]</v>
      </c>
      <c r="V709" t="str">
        <f t="shared" si="45"/>
        <v/>
      </c>
      <c r="W709" t="str">
        <f t="shared" si="46"/>
        <v/>
      </c>
      <c r="X709" t="str">
        <f t="shared" si="47"/>
        <v/>
      </c>
    </row>
    <row r="710" spans="1:24" ht="409.5" x14ac:dyDescent="0.25">
      <c r="A710" t="s">
        <v>3935</v>
      </c>
      <c r="B710" t="s">
        <v>3936</v>
      </c>
      <c r="C710" t="s">
        <v>3937</v>
      </c>
      <c r="F710" s="2" t="s">
        <v>3938</v>
      </c>
      <c r="L710" t="s">
        <v>24</v>
      </c>
      <c r="M710" t="s">
        <v>25</v>
      </c>
      <c r="O710" t="s">
        <v>26</v>
      </c>
      <c r="P710" t="s">
        <v>3939</v>
      </c>
      <c r="Q710" t="s">
        <v>28</v>
      </c>
      <c r="R710" s="3">
        <v>44236.595150462963</v>
      </c>
      <c r="T710" t="s">
        <v>3940</v>
      </c>
      <c r="U710" t="str">
        <f t="shared" si="44"/>
        <v>["37c4a13b-0026-4876-9f96-d41d6c870b67", "2c54f4d6-5712-4e5a-a025-b7f7a396c39b"]</v>
      </c>
      <c r="V710" t="str">
        <f t="shared" si="45"/>
        <v/>
      </c>
      <c r="W710" t="str">
        <f t="shared" si="46"/>
        <v/>
      </c>
      <c r="X710" t="str">
        <f t="shared" si="47"/>
        <v/>
      </c>
    </row>
    <row r="711" spans="1:24" ht="409.5" x14ac:dyDescent="0.25">
      <c r="A711" t="s">
        <v>3941</v>
      </c>
      <c r="B711" t="s">
        <v>3942</v>
      </c>
      <c r="C711" t="s">
        <v>3943</v>
      </c>
      <c r="F711" s="2" t="s">
        <v>3944</v>
      </c>
      <c r="L711" t="s">
        <v>24</v>
      </c>
      <c r="M711" t="s">
        <v>25</v>
      </c>
      <c r="O711" t="s">
        <v>26</v>
      </c>
      <c r="P711" t="s">
        <v>3945</v>
      </c>
      <c r="Q711" t="s">
        <v>28</v>
      </c>
      <c r="R711" s="3">
        <v>44265.663287037038</v>
      </c>
      <c r="T711" t="s">
        <v>3946</v>
      </c>
      <c r="U711" t="str">
        <f t="shared" si="44"/>
        <v>["7effe370-ce79-4286-b299-c5d851f546ff", "734a5746-bbda-4fc0-8eb3-52c6325ceb88"]</v>
      </c>
      <c r="V711" t="str">
        <f t="shared" si="45"/>
        <v/>
      </c>
      <c r="W711" t="str">
        <f t="shared" si="46"/>
        <v/>
      </c>
      <c r="X711" t="str">
        <f t="shared" si="47"/>
        <v/>
      </c>
    </row>
    <row r="712" spans="1:24" ht="409.5" x14ac:dyDescent="0.25">
      <c r="A712" t="s">
        <v>3947</v>
      </c>
      <c r="B712" t="s">
        <v>3948</v>
      </c>
      <c r="C712" t="s">
        <v>3949</v>
      </c>
      <c r="F712" s="2" t="s">
        <v>3950</v>
      </c>
      <c r="L712" t="s">
        <v>24</v>
      </c>
      <c r="M712" t="s">
        <v>25</v>
      </c>
      <c r="O712" t="s">
        <v>26</v>
      </c>
      <c r="P712" t="s">
        <v>3951</v>
      </c>
      <c r="Q712" t="s">
        <v>28</v>
      </c>
      <c r="R712" s="3">
        <v>41206.786481481482</v>
      </c>
      <c r="T712" t="s">
        <v>3952</v>
      </c>
      <c r="U712" t="str">
        <f t="shared" si="44"/>
        <v>["770f9237-9a7f-45e4-9647-aacf35ddee06", "826d798e-01d1-48d3-973c-e0e466a63ca8", "455cf48c-cdee-4721-a0ed-cd38af7aff0f", "21fca925-12ac-4215-ba1a-a9c73cb3b082", "97ef14eb-f280-48a7-96c0-df03859b06c2", "523ba2e4-8c55-4dde-8acf-39e3621811b0", "4315e096-f51e-4b56-8235-57be9789a62c", "aac2629e-495d-4468-9c8b-cd9649bd7b5d", "47c7ffa9-65ba-41d1-9461-4e5458afd62e", "d2c6f6f5-2236-4217-8361-3297b6369979", "54fc7750-8540-4c22-8d46-9a6a2641c41a", "98908792-f315-4834-9b5e-20fed66cbe5a", "8d482810-26da-4bbc-8599-6b1fd1ab8743", "e7065317-1d57-434a-8428-efa263ecc526", "c7e84d16-449e-4154-a1bd-603b4fae329e", "146384fc-3f64-4482-a78a-2f082411a27d", "298e6b5a-21a8-4d56-9484-1bac58c94a26", "5f8ecd04-6e84-4ed7-b4d6-3632c5d2b8f4", "7035def0-a9df-430a-99ee-6e13de12676c", "d9321ccf-d303-4cfb-a24b-32aba49cef81", "6f412521-2e9b-44b1-a3e4-8f1358caef63", "a42cbe4f-89f0-42ae-a34d-f2e5db6aa1d2", "2ed52078-7e55-40ea-8036-0d89118a06f4", "ff1480b5-61f2-4008-aada-387c2c490549", "5d642d09-8e03-4200-a79b-2a397a6d5d51", "96196887-5a20-4e93-a30</v>
      </c>
      <c r="V712" t="str">
        <f t="shared" si="45"/>
        <v>2-72f306f32c9d", "7fcf7f09-12d7-4b06-a183-93c51f940670", "bd8b518b-d812-46f9-b367-4c1b660cfc99", "898afe8c-0297-45d6-b4b5-0cb9e632094b", "de64ade8-5025-40f9-a2e0-15b72797e6a7", "7c6e9dbf-487b-4146-a379-19e46642c392", "716d89ce-b0da-4158-abb6-72f562206b37", "3e62e13e-3955-494a-91b3-f00ab9e84b48", "c1ba372b-dba2-4bce-b72e-b5c832eaaf44", "fc725989-5c3e-4bf4-89b1-68caeec4d858", "87f121a7-eef0-4be9-9372-a5efe5b4d375", "2adc5a86-faa3-4b63-acff-a66128b811b7"]</v>
      </c>
      <c r="W712" t="str">
        <f t="shared" si="46"/>
        <v/>
      </c>
      <c r="X712" t="str">
        <f t="shared" si="47"/>
        <v/>
      </c>
    </row>
    <row r="713" spans="1:24" ht="409.5" x14ac:dyDescent="0.25">
      <c r="A713" t="s">
        <v>3953</v>
      </c>
      <c r="B713" t="s">
        <v>3954</v>
      </c>
      <c r="C713" t="s">
        <v>3955</v>
      </c>
      <c r="F713" s="2" t="s">
        <v>3956</v>
      </c>
      <c r="L713" t="s">
        <v>24</v>
      </c>
      <c r="M713" t="s">
        <v>25</v>
      </c>
      <c r="O713" t="s">
        <v>26</v>
      </c>
      <c r="P713" t="s">
        <v>3957</v>
      </c>
      <c r="Q713" t="s">
        <v>28</v>
      </c>
      <c r="R713" s="3">
        <v>44292.502175925925</v>
      </c>
      <c r="T713" t="s">
        <v>3958</v>
      </c>
      <c r="U713" t="str">
        <f t="shared" si="44"/>
        <v>["52abfc2b-031c-4875-b838-653abbfccf4e", "846448a5-a26e-4297-ac08-ad7040af20f1", "2f6649b6-2b2d-49a9-ab31-6c7e43728001", "4b71eb3d-7d55-4967-b80d-91a3f220b60c", "ef8e980b-9644-45d8-b0e9-c6aaf0eff0c0"]</v>
      </c>
      <c r="V713" t="str">
        <f t="shared" si="45"/>
        <v/>
      </c>
      <c r="W713" t="str">
        <f t="shared" si="46"/>
        <v/>
      </c>
      <c r="X713" t="str">
        <f t="shared" si="47"/>
        <v/>
      </c>
    </row>
    <row r="714" spans="1:24" ht="409.5" x14ac:dyDescent="0.25">
      <c r="A714" t="s">
        <v>3959</v>
      </c>
      <c r="B714" t="s">
        <v>3960</v>
      </c>
      <c r="C714" t="s">
        <v>3961</v>
      </c>
      <c r="F714" s="2" t="s">
        <v>3962</v>
      </c>
      <c r="L714" t="s">
        <v>24</v>
      </c>
      <c r="M714" t="s">
        <v>25</v>
      </c>
      <c r="O714" t="s">
        <v>26</v>
      </c>
      <c r="P714" t="s">
        <v>3963</v>
      </c>
      <c r="Q714" t="s">
        <v>28</v>
      </c>
      <c r="R714" s="3">
        <v>41955.416076388887</v>
      </c>
      <c r="T714" t="s">
        <v>507</v>
      </c>
      <c r="U714" t="str">
        <f t="shared" si="44"/>
        <v>["09716341-2bea-4298-9525-e936d8247d19"]</v>
      </c>
      <c r="V714" t="str">
        <f t="shared" si="45"/>
        <v/>
      </c>
      <c r="W714" t="str">
        <f t="shared" si="46"/>
        <v/>
      </c>
      <c r="X714" t="str">
        <f t="shared" si="47"/>
        <v/>
      </c>
    </row>
    <row r="715" spans="1:24" ht="409.5" x14ac:dyDescent="0.25">
      <c r="A715" t="s">
        <v>3964</v>
      </c>
      <c r="B715" t="s">
        <v>3965</v>
      </c>
      <c r="C715" t="s">
        <v>3966</v>
      </c>
      <c r="F715" s="2" t="s">
        <v>3967</v>
      </c>
      <c r="L715" t="s">
        <v>24</v>
      </c>
      <c r="M715" t="s">
        <v>25</v>
      </c>
      <c r="O715" t="s">
        <v>26</v>
      </c>
      <c r="P715" t="s">
        <v>3968</v>
      </c>
      <c r="Q715" t="s">
        <v>28</v>
      </c>
      <c r="R715" s="3">
        <v>44440.726585648146</v>
      </c>
      <c r="T715" t="s">
        <v>3969</v>
      </c>
      <c r="U715" t="str">
        <f t="shared" si="44"/>
        <v>["2c54f4d6-5712-4e5a-a025-b7f7a396c39b", "31416a3d-5a44-4f78-8b2c-765a2738aacc"]</v>
      </c>
      <c r="V715" t="str">
        <f t="shared" si="45"/>
        <v/>
      </c>
      <c r="W715" t="str">
        <f t="shared" si="46"/>
        <v/>
      </c>
      <c r="X715" t="str">
        <f t="shared" si="47"/>
        <v/>
      </c>
    </row>
    <row r="716" spans="1:24" ht="409.5" x14ac:dyDescent="0.25">
      <c r="A716" t="s">
        <v>3970</v>
      </c>
      <c r="B716" t="s">
        <v>3971</v>
      </c>
      <c r="C716" t="s">
        <v>3972</v>
      </c>
      <c r="F716" s="2" t="s">
        <v>3973</v>
      </c>
      <c r="L716" t="s">
        <v>24</v>
      </c>
      <c r="M716" t="s">
        <v>25</v>
      </c>
      <c r="O716" t="s">
        <v>26</v>
      </c>
      <c r="P716" t="s">
        <v>3974</v>
      </c>
      <c r="Q716" t="s">
        <v>28</v>
      </c>
      <c r="R716" s="3">
        <v>44425.453009259261</v>
      </c>
      <c r="T716" t="s">
        <v>433</v>
      </c>
      <c r="U716" t="str">
        <f t="shared" si="44"/>
        <v>["2c54f4d6-5712-4e5a-a025-b7f7a396c39b"]</v>
      </c>
      <c r="V716" t="str">
        <f t="shared" si="45"/>
        <v/>
      </c>
      <c r="W716" t="str">
        <f t="shared" si="46"/>
        <v/>
      </c>
      <c r="X716" t="str">
        <f t="shared" si="47"/>
        <v/>
      </c>
    </row>
    <row r="717" spans="1:24" x14ac:dyDescent="0.25">
      <c r="A717" t="s">
        <v>3975</v>
      </c>
      <c r="B717" t="s">
        <v>3976</v>
      </c>
      <c r="C717" t="s">
        <v>3977</v>
      </c>
      <c r="F717" t="s">
        <v>3978</v>
      </c>
      <c r="L717" t="s">
        <v>24</v>
      </c>
      <c r="M717" t="s">
        <v>25</v>
      </c>
      <c r="O717" t="s">
        <v>26</v>
      </c>
      <c r="P717" t="s">
        <v>3979</v>
      </c>
      <c r="Q717" t="s">
        <v>28</v>
      </c>
      <c r="R717" s="3">
        <v>44533.588738425926</v>
      </c>
      <c r="T717" t="s">
        <v>2388</v>
      </c>
      <c r="U717" t="str">
        <f t="shared" si="44"/>
        <v>["ef8e980b-9644-45d8-b0e9-c6aaf0eff0c0"]</v>
      </c>
      <c r="V717" t="str">
        <f t="shared" si="45"/>
        <v/>
      </c>
      <c r="W717" t="str">
        <f t="shared" si="46"/>
        <v/>
      </c>
      <c r="X717" t="str">
        <f t="shared" si="47"/>
        <v/>
      </c>
    </row>
    <row r="718" spans="1:24" ht="409.5" x14ac:dyDescent="0.25">
      <c r="A718" t="s">
        <v>3980</v>
      </c>
      <c r="B718" t="s">
        <v>3981</v>
      </c>
      <c r="C718" t="s">
        <v>3982</v>
      </c>
      <c r="F718" s="2" t="s">
        <v>3983</v>
      </c>
      <c r="L718" t="s">
        <v>24</v>
      </c>
      <c r="M718" t="s">
        <v>25</v>
      </c>
      <c r="O718" t="s">
        <v>26</v>
      </c>
      <c r="P718" t="s">
        <v>3984</v>
      </c>
      <c r="Q718" t="s">
        <v>28</v>
      </c>
      <c r="R718" s="3">
        <v>44601.618958333333</v>
      </c>
      <c r="T718" t="s">
        <v>2428</v>
      </c>
      <c r="U718" t="str">
        <f t="shared" si="44"/>
        <v>["60dd8dfc-3858-4096-b2df-544db8120827"]</v>
      </c>
      <c r="V718" t="str">
        <f t="shared" si="45"/>
        <v/>
      </c>
      <c r="W718" t="str">
        <f t="shared" si="46"/>
        <v/>
      </c>
      <c r="X718" t="str">
        <f t="shared" si="47"/>
        <v/>
      </c>
    </row>
    <row r="719" spans="1:24" ht="409.5" x14ac:dyDescent="0.25">
      <c r="A719" t="s">
        <v>3985</v>
      </c>
      <c r="B719" t="s">
        <v>3986</v>
      </c>
      <c r="C719" t="s">
        <v>3987</v>
      </c>
      <c r="F719" s="2" t="s">
        <v>3988</v>
      </c>
      <c r="L719" t="s">
        <v>24</v>
      </c>
      <c r="M719" t="s">
        <v>25</v>
      </c>
      <c r="O719" t="s">
        <v>26</v>
      </c>
      <c r="P719" t="s">
        <v>3989</v>
      </c>
      <c r="Q719" t="s">
        <v>28</v>
      </c>
      <c r="R719" s="3">
        <v>43936.463263888887</v>
      </c>
      <c r="T719" t="s">
        <v>2891</v>
      </c>
      <c r="U719" t="str">
        <f t="shared" si="44"/>
        <v>["6d731e6e-7dcf-4bde-8061-d0e195f62f6c"]</v>
      </c>
      <c r="V719" t="str">
        <f t="shared" si="45"/>
        <v/>
      </c>
      <c r="W719" t="str">
        <f t="shared" si="46"/>
        <v/>
      </c>
      <c r="X719" t="str">
        <f t="shared" si="47"/>
        <v/>
      </c>
    </row>
    <row r="720" spans="1:24" ht="409.5" x14ac:dyDescent="0.25">
      <c r="A720" t="s">
        <v>3990</v>
      </c>
      <c r="B720" t="s">
        <v>3991</v>
      </c>
      <c r="C720" t="s">
        <v>3992</v>
      </c>
      <c r="F720" s="2" t="s">
        <v>3993</v>
      </c>
      <c r="L720" t="s">
        <v>24</v>
      </c>
      <c r="M720" t="s">
        <v>25</v>
      </c>
      <c r="O720" t="s">
        <v>26</v>
      </c>
      <c r="P720" t="s">
        <v>3994</v>
      </c>
      <c r="Q720" t="s">
        <v>28</v>
      </c>
      <c r="R720" s="3">
        <v>44840.590532407405</v>
      </c>
      <c r="T720" t="s">
        <v>3995</v>
      </c>
      <c r="U720" t="str">
        <f t="shared" si="44"/>
        <v>["fa18db4f-a880-452b-bcbf-e4c0a88cb5d5", "35e36014-ec69-439b-8629-389f52ffaa92", "2c54f4d6-5712-4e5a-a025-b7f7a396c39b"]</v>
      </c>
      <c r="V720" t="str">
        <f t="shared" si="45"/>
        <v/>
      </c>
      <c r="W720" t="str">
        <f t="shared" si="46"/>
        <v/>
      </c>
      <c r="X720" t="str">
        <f t="shared" si="47"/>
        <v/>
      </c>
    </row>
    <row r="721" spans="1:24" ht="409.5" x14ac:dyDescent="0.25">
      <c r="A721" t="s">
        <v>3996</v>
      </c>
      <c r="B721" t="s">
        <v>3997</v>
      </c>
      <c r="C721" t="s">
        <v>3998</v>
      </c>
      <c r="F721" s="2" t="s">
        <v>3999</v>
      </c>
      <c r="L721" t="s">
        <v>24</v>
      </c>
      <c r="M721" t="s">
        <v>25</v>
      </c>
      <c r="O721" t="s">
        <v>26</v>
      </c>
      <c r="P721" t="s">
        <v>4000</v>
      </c>
      <c r="Q721" t="s">
        <v>28</v>
      </c>
      <c r="R721" s="3">
        <v>43105.474131944444</v>
      </c>
      <c r="T721" t="s">
        <v>1340</v>
      </c>
      <c r="U721" t="str">
        <f t="shared" si="44"/>
        <v>["0fb9ae1a-92cb-4ab8-a589-470c16d4fe21"]</v>
      </c>
      <c r="V721" t="str">
        <f t="shared" si="45"/>
        <v/>
      </c>
      <c r="W721" t="str">
        <f t="shared" si="46"/>
        <v/>
      </c>
      <c r="X721" t="str">
        <f t="shared" si="47"/>
        <v/>
      </c>
    </row>
    <row r="722" spans="1:24" ht="409.5" x14ac:dyDescent="0.25">
      <c r="A722" t="s">
        <v>4001</v>
      </c>
      <c r="B722" t="s">
        <v>4002</v>
      </c>
      <c r="C722" t="s">
        <v>4003</v>
      </c>
      <c r="F722" s="2" t="s">
        <v>4004</v>
      </c>
      <c r="L722" t="s">
        <v>24</v>
      </c>
      <c r="M722" t="s">
        <v>25</v>
      </c>
      <c r="O722" t="s">
        <v>26</v>
      </c>
      <c r="P722" t="s">
        <v>4005</v>
      </c>
      <c r="Q722" t="s">
        <v>28</v>
      </c>
      <c r="R722" s="3">
        <v>45051.635833333334</v>
      </c>
      <c r="T722" t="s">
        <v>4006</v>
      </c>
      <c r="U722" t="str">
        <f t="shared" si="44"/>
        <v>["56f9f78e-a51a-4990-aebd-082aebfb0fe7"]</v>
      </c>
      <c r="V722" t="str">
        <f t="shared" si="45"/>
        <v/>
      </c>
      <c r="W722" t="str">
        <f t="shared" si="46"/>
        <v/>
      </c>
      <c r="X722" t="str">
        <f t="shared" si="47"/>
        <v/>
      </c>
    </row>
    <row r="723" spans="1:24" ht="409.5" x14ac:dyDescent="0.25">
      <c r="A723" t="s">
        <v>4007</v>
      </c>
      <c r="B723" t="s">
        <v>4008</v>
      </c>
      <c r="C723" t="s">
        <v>4009</v>
      </c>
      <c r="F723" s="2" t="s">
        <v>4010</v>
      </c>
      <c r="L723" t="s">
        <v>24</v>
      </c>
      <c r="M723" t="s">
        <v>25</v>
      </c>
      <c r="O723" t="s">
        <v>26</v>
      </c>
      <c r="P723" t="s">
        <v>4011</v>
      </c>
      <c r="Q723" t="s">
        <v>28</v>
      </c>
      <c r="R723" s="3">
        <v>44018.345196759263</v>
      </c>
      <c r="T723" t="s">
        <v>4012</v>
      </c>
      <c r="U723" t="str">
        <f t="shared" si="44"/>
        <v>["2c54f4d6-5712-4e5a-a025-b7f7a396c39b", "c223b93a-2634-4f06-ac73-8709b9e16888", "522d3045-0b37-48d0-b868-57c99726b1c4", "b01585af-110f-4f87-9bf1-06805605926c", "f1f6f15d-2faa-4b62-b78b-80599dd1c66e", "36a8b9e9-909e-4605-a7ba-686ee3e1b8bf", "54e495ec-e203-4c06-8707-36128dd22c50", "8d482810-26da-4bbc-8599-6b1fd1ab8743", "699a5a9a-348c-4a46-b99e-a23b59f27721", "c5cf2502-7572-4fd1-a836-48b335a2d47d", "aac2629e-495d-4468-9c8b-cd9649bd7b5d", "7c6e9dbf-487b-4146-a379-19e46642c392", "4315e096-f51e-4b56-8235-57be9789a62c", "2adc5a86-faa3-4b63-acff-a66128b811b7", "826d798e-01d1-48d3-973c-e0e466a63ca8", "523ba2e4-8c55-4dde-8acf-39e3621811b0", "96196887-5a20-4e93-a302-72f306f32c9d", "aa8876c7-9711-4969-b428-34400f2d0dbe", "6858b208-62bc-424e-9d7b-c89b74d3d3e3", "54fc7750-8540-4c22-8d46-9a6a2641c41a", "d2c6f6f5-2236-4217-8361-3297b6369979", "455cf48c-cdee-4721-a0ed-cd38af7aff0f", "fc725989-5c3e-4bf4-89b1-68caeec4d858", "146384fc-3f64-4482-a78a-2f082411a27d", "47c7ffa9-65ba-41d1-9461-4e5458afd62e", "5e6175cd-dc44-4b32-a64</v>
      </c>
      <c r="V723" t="str">
        <f t="shared" si="45"/>
        <v>a-1ac4239a6e4a", "898afe8c-0297-45d6-b4b5-0cb9e632094b", "be2e0197-57b8-4fcf-a144-cb33f7466f3a", "2ed52078-7e55-40ea-8036-0d89118a06f4", "3e62e13e-3955-494a-91b3-f00ab9e84b48", "716d89ce-b0da-4158-abb6-72f562206b37", "f4e80988-c139-4953-8176-b3d6d03f6449", "87f121a7-eef0-4be9-9372-a5efe5b4d375", "f0335765-1ab0-4e94-ab38-f404de4c3b4d", "c1ba372b-dba2-4bce-b72e-b5c832eaaf44", "298e6b5a-21a8-4d56-9484-1bac58c94a26", "770f9237-9a7f-45e4-9647-aacf35ddee06", "97ef14eb-f280-48a7-96c0-df03859b06c2", "7fcf7f09-12d7-4b06-a183-93c51f940670", "72fbf32e-c8c3-4914-92a1-66dc2439a114", "354f9aa0-2f0a-4cdf-9b60-d023da93cc76", "627a9226-a907-4018-89e3-878002a9d22b", "8a528b7f-98af-4893-af73-5d5f26d3aa7c", "4e8d237b-8bd4-4483-a85d-431784c543b9", "c6fc4688-1aca-4363-bd1a-8d14ea08d2f8", "22add642-d849-48ff-9913-8c7ba2d99b46", "3ff63cf5-8d04-4be5-9449-96411ae9fc36", "6f412521-2e9b-44b1-a3e4-8f1358caef63", "bd8b518b-d812-46f9-b367-4c1b660cfc99", "8e420764-a913-4eae-8514-9be858fdb9b3", "aab0a0be-89e6-442e-8cf9-e762bd18f76b", "5d642d</v>
      </c>
      <c r="W723" t="str">
        <f t="shared" si="46"/>
        <v>09-8e03-4200-a79b-2a397a6d5d51", "98908792-f315-4834-9b5e-20fed66cbe5a", "2ee6b8bf-6292-413c-bb8b-bd22dbb2ad4b", "9c203fec-dc0d-412c-a7a3-7fd77d0346f1", "ce6baef9-42a8-4c09-8d50-99be6ac4ca9e"]</v>
      </c>
      <c r="X723" t="str">
        <f t="shared" si="47"/>
        <v/>
      </c>
    </row>
    <row r="724" spans="1:24" ht="409.5" x14ac:dyDescent="0.25">
      <c r="A724" t="s">
        <v>4013</v>
      </c>
      <c r="B724" t="s">
        <v>4014</v>
      </c>
      <c r="C724" t="s">
        <v>4015</v>
      </c>
      <c r="F724" s="2" t="s">
        <v>4016</v>
      </c>
      <c r="L724" t="s">
        <v>24</v>
      </c>
      <c r="M724" t="s">
        <v>25</v>
      </c>
      <c r="O724" t="s">
        <v>26</v>
      </c>
      <c r="P724" t="s">
        <v>4017</v>
      </c>
      <c r="Q724" t="s">
        <v>28</v>
      </c>
      <c r="R724" s="3">
        <v>45250.691238425927</v>
      </c>
      <c r="T724" t="s">
        <v>1150</v>
      </c>
      <c r="U724" t="str">
        <f t="shared" si="44"/>
        <v>["1f4a62eb-6f1a-4bfe-b7cd-e6dede0be00a"]</v>
      </c>
      <c r="V724" t="str">
        <f t="shared" si="45"/>
        <v/>
      </c>
      <c r="W724" t="str">
        <f t="shared" si="46"/>
        <v/>
      </c>
      <c r="X724" t="str">
        <f t="shared" si="47"/>
        <v/>
      </c>
    </row>
    <row r="725" spans="1:24" x14ac:dyDescent="0.25">
      <c r="A725" t="s">
        <v>4018</v>
      </c>
      <c r="B725" t="s">
        <v>4019</v>
      </c>
      <c r="C725" t="s">
        <v>4020</v>
      </c>
      <c r="F725" t="s">
        <v>4021</v>
      </c>
      <c r="L725" t="s">
        <v>24</v>
      </c>
      <c r="M725" t="s">
        <v>25</v>
      </c>
      <c r="O725" t="s">
        <v>26</v>
      </c>
      <c r="P725" t="s">
        <v>4022</v>
      </c>
      <c r="Q725" t="s">
        <v>3887</v>
      </c>
      <c r="R725" t="s">
        <v>4023</v>
      </c>
      <c r="T725" t="s">
        <v>844</v>
      </c>
      <c r="U725" t="str">
        <f t="shared" si="44"/>
        <v>["f1f6f15d-2faa-4b62-b78b-80599dd1c66e"]</v>
      </c>
      <c r="V725" t="str">
        <f t="shared" si="45"/>
        <v/>
      </c>
      <c r="W725" t="str">
        <f t="shared" si="46"/>
        <v/>
      </c>
      <c r="X725" t="str">
        <f t="shared" si="47"/>
        <v/>
      </c>
    </row>
    <row r="726" spans="1:24" x14ac:dyDescent="0.25">
      <c r="A726" t="s">
        <v>4024</v>
      </c>
      <c r="B726" t="s">
        <v>4025</v>
      </c>
      <c r="C726" t="s">
        <v>4026</v>
      </c>
      <c r="F726" t="s">
        <v>4027</v>
      </c>
      <c r="L726" t="s">
        <v>24</v>
      </c>
      <c r="M726" t="s">
        <v>25</v>
      </c>
      <c r="O726" t="s">
        <v>26</v>
      </c>
      <c r="P726" t="s">
        <v>4028</v>
      </c>
      <c r="Q726" t="s">
        <v>3887</v>
      </c>
      <c r="R726" t="s">
        <v>4029</v>
      </c>
      <c r="T726" t="s">
        <v>4030</v>
      </c>
      <c r="U726" t="str">
        <f t="shared" si="44"/>
        <v>["c327c54d-4e61-4334-bf8b-8d73113523a3"]</v>
      </c>
      <c r="V726" t="str">
        <f t="shared" si="45"/>
        <v/>
      </c>
      <c r="W726" t="str">
        <f t="shared" si="46"/>
        <v/>
      </c>
      <c r="X726" t="str">
        <f t="shared" si="47"/>
        <v/>
      </c>
    </row>
    <row r="727" spans="1:24" x14ac:dyDescent="0.25">
      <c r="A727" t="s">
        <v>4031</v>
      </c>
      <c r="B727" t="s">
        <v>4032</v>
      </c>
      <c r="C727" t="s">
        <v>4033</v>
      </c>
      <c r="F727" t="s">
        <v>4034</v>
      </c>
      <c r="L727" t="s">
        <v>24</v>
      </c>
      <c r="M727" t="s">
        <v>25</v>
      </c>
      <c r="O727" t="s">
        <v>26</v>
      </c>
      <c r="P727" t="s">
        <v>4035</v>
      </c>
      <c r="Q727" t="s">
        <v>3887</v>
      </c>
      <c r="R727" t="s">
        <v>4036</v>
      </c>
      <c r="T727" t="s">
        <v>4037</v>
      </c>
      <c r="U727" t="str">
        <f t="shared" si="44"/>
        <v>["07ba3b74-3c40-4a36-838a-7ef4ced23546", "aae243bd-796f-46d6-86ab-4d7b403f15a8"]</v>
      </c>
      <c r="V727" t="str">
        <f t="shared" si="45"/>
        <v/>
      </c>
      <c r="W727" t="str">
        <f t="shared" si="46"/>
        <v/>
      </c>
      <c r="X727" t="str">
        <f t="shared" si="47"/>
        <v/>
      </c>
    </row>
    <row r="728" spans="1:24" x14ac:dyDescent="0.25">
      <c r="A728" t="s">
        <v>4038</v>
      </c>
      <c r="B728" t="s">
        <v>4039</v>
      </c>
      <c r="C728" t="s">
        <v>4040</v>
      </c>
      <c r="F728" t="s">
        <v>4041</v>
      </c>
      <c r="L728" t="s">
        <v>24</v>
      </c>
      <c r="M728" t="s">
        <v>25</v>
      </c>
      <c r="O728" t="s">
        <v>26</v>
      </c>
      <c r="P728" t="s">
        <v>4042</v>
      </c>
      <c r="Q728" t="s">
        <v>3887</v>
      </c>
      <c r="R728" t="s">
        <v>4043</v>
      </c>
      <c r="T728" t="s">
        <v>4044</v>
      </c>
      <c r="U728" t="str">
        <f t="shared" si="44"/>
        <v>["566c8d52-b6f8-48b9-921e-856ba5be392d"]</v>
      </c>
      <c r="V728" t="str">
        <f t="shared" si="45"/>
        <v/>
      </c>
      <c r="W728" t="str">
        <f t="shared" si="46"/>
        <v/>
      </c>
      <c r="X728" t="str">
        <f t="shared" si="47"/>
        <v/>
      </c>
    </row>
    <row r="729" spans="1:24" x14ac:dyDescent="0.25">
      <c r="A729" t="s">
        <v>4045</v>
      </c>
      <c r="B729" t="s">
        <v>4046</v>
      </c>
      <c r="C729" t="s">
        <v>4047</v>
      </c>
      <c r="F729" t="s">
        <v>4048</v>
      </c>
      <c r="L729" t="s">
        <v>24</v>
      </c>
      <c r="M729" t="s">
        <v>25</v>
      </c>
      <c r="O729" t="s">
        <v>26</v>
      </c>
      <c r="P729" t="s">
        <v>4049</v>
      </c>
      <c r="Q729" t="s">
        <v>3887</v>
      </c>
      <c r="R729" t="s">
        <v>4050</v>
      </c>
      <c r="T729" t="s">
        <v>1340</v>
      </c>
      <c r="U729" t="str">
        <f t="shared" si="44"/>
        <v>["0fb9ae1a-92cb-4ab8-a589-470c16d4fe21"]</v>
      </c>
      <c r="V729" t="str">
        <f t="shared" si="45"/>
        <v/>
      </c>
      <c r="W729" t="str">
        <f t="shared" si="46"/>
        <v/>
      </c>
      <c r="X729" t="str">
        <f t="shared" si="47"/>
        <v/>
      </c>
    </row>
    <row r="730" spans="1:24" x14ac:dyDescent="0.25">
      <c r="A730" s="4" t="s">
        <v>4051</v>
      </c>
      <c r="B730" t="s">
        <v>4052</v>
      </c>
      <c r="C730" t="s">
        <v>4053</v>
      </c>
      <c r="F730" t="s">
        <v>4054</v>
      </c>
      <c r="L730" t="s">
        <v>24</v>
      </c>
      <c r="M730" t="s">
        <v>25</v>
      </c>
      <c r="O730" t="s">
        <v>26</v>
      </c>
      <c r="P730" t="s">
        <v>4055</v>
      </c>
      <c r="Q730" t="s">
        <v>3887</v>
      </c>
      <c r="R730" t="s">
        <v>4056</v>
      </c>
      <c r="T730" t="s">
        <v>4057</v>
      </c>
      <c r="U730" t="str">
        <f t="shared" si="44"/>
        <v>["7cb3fb29-6b14-477b-a88b-a6a526b59b40"]</v>
      </c>
      <c r="V730" t="str">
        <f t="shared" si="45"/>
        <v/>
      </c>
      <c r="W730" t="str">
        <f t="shared" si="46"/>
        <v/>
      </c>
      <c r="X730" t="str">
        <f t="shared" si="47"/>
        <v/>
      </c>
    </row>
    <row r="731" spans="1:24" ht="409.5" x14ac:dyDescent="0.25">
      <c r="A731" t="s">
        <v>4058</v>
      </c>
      <c r="B731" t="s">
        <v>4059</v>
      </c>
      <c r="C731" t="s">
        <v>4060</v>
      </c>
      <c r="F731" s="2" t="s">
        <v>4061</v>
      </c>
      <c r="L731" t="s">
        <v>24</v>
      </c>
      <c r="M731" t="s">
        <v>25</v>
      </c>
      <c r="O731" t="s">
        <v>26</v>
      </c>
      <c r="P731" s="3">
        <v>45454.260312500002</v>
      </c>
      <c r="Q731" t="s">
        <v>28</v>
      </c>
      <c r="R731" s="3">
        <v>42365.949560185189</v>
      </c>
      <c r="T731" t="s">
        <v>4062</v>
      </c>
      <c r="U731" t="str">
        <f t="shared" si="44"/>
        <v>["2c54f4d6-5712-4e5a-a025-b7f7a396c39b", "19b8d43f-4666-4a8c-98ef-c059fff9f192", "588b9fdc-d2dd-4628-b186-f7b974065d40", "13a9f9d7-f013-4b12-a990-387714039247"]</v>
      </c>
      <c r="V731" t="str">
        <f t="shared" si="45"/>
        <v/>
      </c>
      <c r="W731" t="str">
        <f t="shared" si="46"/>
        <v/>
      </c>
      <c r="X731" t="str">
        <f t="shared" si="47"/>
        <v/>
      </c>
    </row>
    <row r="732" spans="1:24" ht="409.5" x14ac:dyDescent="0.25">
      <c r="A732" t="s">
        <v>4063</v>
      </c>
      <c r="B732" t="s">
        <v>4064</v>
      </c>
      <c r="C732" t="s">
        <v>4065</v>
      </c>
      <c r="F732" s="2" t="s">
        <v>4066</v>
      </c>
      <c r="L732" t="s">
        <v>24</v>
      </c>
      <c r="M732" t="s">
        <v>25</v>
      </c>
      <c r="O732" t="s">
        <v>26</v>
      </c>
      <c r="P732" t="s">
        <v>4067</v>
      </c>
      <c r="Q732" t="s">
        <v>28</v>
      </c>
      <c r="R732" s="3">
        <v>44715.458391203705</v>
      </c>
      <c r="T732" t="s">
        <v>1404</v>
      </c>
      <c r="U732" t="str">
        <f t="shared" si="44"/>
        <v>["d88a1246-9684-480b-a480-ff63286b35b7"]</v>
      </c>
      <c r="V732" t="str">
        <f t="shared" si="45"/>
        <v/>
      </c>
      <c r="W732" t="str">
        <f t="shared" si="46"/>
        <v/>
      </c>
      <c r="X732" t="str">
        <f t="shared" si="47"/>
        <v/>
      </c>
    </row>
    <row r="733" spans="1:24" ht="409.5" x14ac:dyDescent="0.25">
      <c r="A733" t="s">
        <v>4068</v>
      </c>
      <c r="B733" t="s">
        <v>4069</v>
      </c>
      <c r="C733" t="s">
        <v>4070</v>
      </c>
      <c r="F733" s="2" t="s">
        <v>4071</v>
      </c>
      <c r="L733" t="s">
        <v>24</v>
      </c>
      <c r="M733" t="s">
        <v>25</v>
      </c>
      <c r="O733" t="s">
        <v>26</v>
      </c>
      <c r="P733" t="s">
        <v>4072</v>
      </c>
      <c r="Q733" t="s">
        <v>28</v>
      </c>
      <c r="R733" s="3">
        <v>44750.505659722221</v>
      </c>
      <c r="T733" t="s">
        <v>3310</v>
      </c>
      <c r="U733" t="str">
        <f t="shared" si="44"/>
        <v>["4a2203cb-ed49-4e51-8f41-0bdfd821e9c3"]</v>
      </c>
      <c r="V733" t="str">
        <f t="shared" si="45"/>
        <v/>
      </c>
      <c r="W733" t="str">
        <f t="shared" si="46"/>
        <v/>
      </c>
      <c r="X733" t="str">
        <f t="shared" si="47"/>
        <v/>
      </c>
    </row>
    <row r="734" spans="1:24" ht="409.5" x14ac:dyDescent="0.25">
      <c r="A734" t="s">
        <v>4073</v>
      </c>
      <c r="B734" t="s">
        <v>4074</v>
      </c>
      <c r="C734" t="s">
        <v>4075</v>
      </c>
      <c r="F734" s="2" t="s">
        <v>4076</v>
      </c>
      <c r="L734" t="s">
        <v>24</v>
      </c>
      <c r="M734" t="s">
        <v>25</v>
      </c>
      <c r="O734" t="s">
        <v>26</v>
      </c>
      <c r="P734" t="s">
        <v>4077</v>
      </c>
      <c r="Q734" t="s">
        <v>28</v>
      </c>
      <c r="R734" s="3">
        <v>44104.540960648148</v>
      </c>
      <c r="T734" t="s">
        <v>4078</v>
      </c>
      <c r="U734" t="str">
        <f t="shared" si="44"/>
        <v>["2eb011e4-e899-4eee-885d-4b9da665033c", "52abfc2b-031c-4875-b838-653abbfccf4e", "2c54f4d6-5712-4e5a-a025-b7f7a396c39b", "2f6649b6-2b2d-49a9-ab31-6c7e43728001", "ef8e980b-9644-45d8-b0e9-c6aaf0eff0c0", "734a5746-bbda-4fc0-8eb3-52c6325ceb88", "7effe370-ce79-4286-b299-c5d851f546ff"]</v>
      </c>
      <c r="V734" t="str">
        <f t="shared" si="45"/>
        <v/>
      </c>
      <c r="W734" t="str">
        <f t="shared" si="46"/>
        <v/>
      </c>
      <c r="X734" t="str">
        <f t="shared" si="47"/>
        <v/>
      </c>
    </row>
    <row r="735" spans="1:24" ht="409.5" x14ac:dyDescent="0.25">
      <c r="A735" t="s">
        <v>4079</v>
      </c>
      <c r="B735" t="s">
        <v>4080</v>
      </c>
      <c r="C735" t="s">
        <v>4081</v>
      </c>
      <c r="F735" s="2" t="s">
        <v>4082</v>
      </c>
      <c r="L735" t="s">
        <v>24</v>
      </c>
      <c r="M735" t="s">
        <v>25</v>
      </c>
      <c r="O735" t="s">
        <v>26</v>
      </c>
      <c r="P735" t="s">
        <v>4083</v>
      </c>
      <c r="Q735" t="s">
        <v>28</v>
      </c>
      <c r="R735" s="3">
        <v>43024.372476851851</v>
      </c>
      <c r="T735" t="s">
        <v>1340</v>
      </c>
      <c r="U735" t="str">
        <f t="shared" si="44"/>
        <v>["0fb9ae1a-92cb-4ab8-a589-470c16d4fe21"]</v>
      </c>
      <c r="V735" t="str">
        <f t="shared" si="45"/>
        <v/>
      </c>
      <c r="W735" t="str">
        <f t="shared" si="46"/>
        <v/>
      </c>
      <c r="X735" t="str">
        <f t="shared" si="47"/>
        <v/>
      </c>
    </row>
    <row r="736" spans="1:24" ht="409.5" x14ac:dyDescent="0.25">
      <c r="A736" t="s">
        <v>4084</v>
      </c>
      <c r="B736" t="s">
        <v>4085</v>
      </c>
      <c r="C736" t="s">
        <v>4086</v>
      </c>
      <c r="F736" s="2" t="s">
        <v>4087</v>
      </c>
      <c r="L736" t="s">
        <v>24</v>
      </c>
      <c r="M736" t="s">
        <v>25</v>
      </c>
      <c r="O736" t="s">
        <v>26</v>
      </c>
      <c r="P736" t="s">
        <v>4088</v>
      </c>
      <c r="Q736" t="s">
        <v>28</v>
      </c>
      <c r="R736" s="3">
        <v>42704.449016203704</v>
      </c>
      <c r="T736" t="s">
        <v>4089</v>
      </c>
      <c r="U736" t="str">
        <f t="shared" si="44"/>
        <v>["2c54f4d6-5712-4e5a-a025-b7f7a396c39b", "2eb011e4-e899-4eee-885d-4b9da665033c"]</v>
      </c>
      <c r="V736" t="str">
        <f t="shared" si="45"/>
        <v/>
      </c>
      <c r="W736" t="str">
        <f t="shared" si="46"/>
        <v/>
      </c>
      <c r="X736" t="str">
        <f t="shared" si="47"/>
        <v/>
      </c>
    </row>
    <row r="737" spans="1:24" ht="409.5" x14ac:dyDescent="0.25">
      <c r="A737" t="s">
        <v>4090</v>
      </c>
      <c r="B737" t="s">
        <v>4091</v>
      </c>
      <c r="C737" t="s">
        <v>4092</v>
      </c>
      <c r="F737" s="2" t="s">
        <v>4093</v>
      </c>
      <c r="L737" t="s">
        <v>24</v>
      </c>
      <c r="M737" t="s">
        <v>25</v>
      </c>
      <c r="O737" t="s">
        <v>26</v>
      </c>
      <c r="P737" t="s">
        <v>4094</v>
      </c>
      <c r="Q737" t="s">
        <v>28</v>
      </c>
      <c r="R737" s="3">
        <v>45162.754560185182</v>
      </c>
      <c r="T737" t="s">
        <v>674</v>
      </c>
      <c r="U737" t="str">
        <f t="shared" si="44"/>
        <v>["522d3045-0b37-48d0-b868-57c99726b1c4"]</v>
      </c>
      <c r="V737" t="str">
        <f t="shared" si="45"/>
        <v/>
      </c>
      <c r="W737" t="str">
        <f t="shared" si="46"/>
        <v/>
      </c>
      <c r="X737" t="str">
        <f t="shared" si="47"/>
        <v/>
      </c>
    </row>
    <row r="738" spans="1:24" ht="409.5" x14ac:dyDescent="0.25">
      <c r="A738" t="s">
        <v>4095</v>
      </c>
      <c r="B738" t="s">
        <v>4096</v>
      </c>
      <c r="C738" t="s">
        <v>4097</v>
      </c>
      <c r="F738" s="2" t="s">
        <v>4098</v>
      </c>
      <c r="L738" t="s">
        <v>24</v>
      </c>
      <c r="M738" t="s">
        <v>25</v>
      </c>
      <c r="O738" t="s">
        <v>26</v>
      </c>
      <c r="P738" t="s">
        <v>4099</v>
      </c>
      <c r="Q738" t="s">
        <v>28</v>
      </c>
      <c r="R738" s="3">
        <v>44020.500439814816</v>
      </c>
      <c r="T738" t="s">
        <v>4100</v>
      </c>
      <c r="U738" t="str">
        <f t="shared" si="44"/>
        <v>["2ed52078-7e55-40ea-8036-0d89118a06f4", "22add642-d849-48ff-9913-8c7ba2d99b46", "ce6baef9-42a8-4c09-8d50-99be6ac4ca9e", "898afe8c-0297-45d6-b4b5-0cb9e632094b", "7c6e9dbf-487b-4146-a379-19e46642c392", "bd8b518b-d812-46f9-b367-4c1b660cfc99"]</v>
      </c>
      <c r="V738" t="str">
        <f t="shared" si="45"/>
        <v/>
      </c>
      <c r="W738" t="str">
        <f t="shared" si="46"/>
        <v/>
      </c>
      <c r="X738" t="str">
        <f t="shared" si="47"/>
        <v/>
      </c>
    </row>
    <row r="739" spans="1:24" x14ac:dyDescent="0.25">
      <c r="A739" t="s">
        <v>4101</v>
      </c>
      <c r="B739" t="s">
        <v>4102</v>
      </c>
      <c r="C739" t="s">
        <v>4103</v>
      </c>
      <c r="F739" t="s">
        <v>4104</v>
      </c>
      <c r="L739" t="s">
        <v>24</v>
      </c>
      <c r="M739" t="s">
        <v>25</v>
      </c>
      <c r="O739" t="s">
        <v>26</v>
      </c>
      <c r="P739" t="s">
        <v>4105</v>
      </c>
      <c r="Q739" t="s">
        <v>28</v>
      </c>
      <c r="R739" s="3">
        <v>45177.661168981482</v>
      </c>
      <c r="T739" t="s">
        <v>4106</v>
      </c>
      <c r="U739" t="str">
        <f t="shared" si="44"/>
        <v>["603066f6-0f0a-3806-b394-f14b7d2cb437"]</v>
      </c>
      <c r="V739" t="str">
        <f t="shared" si="45"/>
        <v/>
      </c>
      <c r="W739" t="str">
        <f t="shared" si="46"/>
        <v/>
      </c>
      <c r="X739" t="str">
        <f t="shared" si="47"/>
        <v/>
      </c>
    </row>
    <row r="740" spans="1:24" ht="409.5" x14ac:dyDescent="0.25">
      <c r="A740" t="s">
        <v>4107</v>
      </c>
      <c r="B740" t="s">
        <v>4108</v>
      </c>
      <c r="C740" t="s">
        <v>4109</v>
      </c>
      <c r="F740" s="2" t="s">
        <v>4110</v>
      </c>
      <c r="L740" t="s">
        <v>24</v>
      </c>
      <c r="M740" t="s">
        <v>25</v>
      </c>
      <c r="O740" t="s">
        <v>26</v>
      </c>
      <c r="P740" t="s">
        <v>4111</v>
      </c>
      <c r="Q740" t="s">
        <v>28</v>
      </c>
      <c r="R740" s="3">
        <v>43558.422083333331</v>
      </c>
      <c r="T740" t="s">
        <v>4112</v>
      </c>
      <c r="U740" t="str">
        <f t="shared" si="44"/>
        <v>["9c203fec-dc0d-412c-a7a3-7fd77d0346f1", "522d3045-0b37-48d0-b868-57c99726b1c4", "b01585af-110f-4f87-9bf1-06805605926c", "2c54f4d6-5712-4e5a-a025-b7f7a396c39b", "f1f6f15d-2faa-4b62-b78b-80599dd1c66e", "36a8b9e9-909e-4605-a7ba-686ee3e1b8bf", "54e495ec-e203-4c06-8707-36128dd22c50", "8d482810-26da-4bbc-8599-6b1fd1ab8743", "699a5a9a-348c-4a46-b99e-a23b59f27721", "c5cf2502-7572-4fd1-a836-48b335a2d47d", "aac2629e-495d-4468-9c8b-cd9649bd7b5d", "7c6e9dbf-487b-4146-a379-19e46642c392", "4315e096-f51e-4b56-8235-57be9789a62c", "2adc5a86-faa3-4b63-acff-a66128b811b7", "826d798e-01d1-48d3-973c-e0e466a63ca8", "523ba2e4-8c55-4dde-8acf-39e3621811b0", "96196887-5a20-4e93-a302-72f306f32c9d", "aa8876c7-9711-4969-b428-34400f2d0dbe", "6858b208-62bc-424e-9d7b-c89b74d3d3e3", "54fc7750-8540-4c22-8d46-9a6a2641c41a", "d2c6f6f5-2236-4217-8361-3297b6369979", "455cf48c-cdee-4721-a0ed-cd38af7aff0f", "fc725989-5c3e-4bf4-89b1-68caeec4d858", "146384fc-3f64-4482-a78a-2f082411a27d", "47c7ffa9-65ba-41d1-9461-4e5458afd62e", "5e6175cd-dc44-4b32-a64</v>
      </c>
      <c r="V740" t="str">
        <f t="shared" si="45"/>
        <v>a-1ac4239a6e4a", "898afe8c-0297-45d6-b4b5-0cb9e632094b", "71084c02-973d-4544-b804-7ed82bd53027", "be2e0197-57b8-4fcf-a144-cb33f7466f3a", "2ed52078-7e55-40ea-8036-0d89118a06f4", "3e62e13e-3955-494a-91b3-f00ab9e84b48", "716d89ce-b0da-4158-abb6-72f562206b37", "f4e80988-c139-4953-8176-b3d6d03f6449", "87f121a7-eef0-4be9-9372-a5efe5b4d375", "f0335765-1ab0-4e94-ab38-f404de4c3b4d", "c1ba372b-dba2-4bce-b72e-b5c832eaaf44", "298e6b5a-21a8-4d56-9484-1bac58c94a26", "770f9237-9a7f-45e4-9647-aacf35ddee06", "97ef14eb-f280-48a7-96c0-df03859b06c2", "7fcf7f09-12d7-4b06-a183-93c51f940670", "72fbf32e-c8c3-4914-92a1-66dc2439a114", "354f9aa0-2f0a-4cdf-9b60-d023da93cc76", "627a9226-a907-4018-89e3-878002a9d22b", "8a528b7f-98af-4893-af73-5d5f26d3aa7c", "4e8d237b-8bd4-4483-a85d-431784c543b9", "c6fc4688-1aca-4363-bd1a-8d14ea08d2f8", "22add642-d849-48ff-9913-8c7ba2d99b46", "3ff63cf5-8d04-4be5-9449-96411ae9fc36", "6f412521-2e9b-44b1-a3e4-8f1358caef63", "bd8b518b-d812-46f9-b367-4c1b660cfc99", "8e420764-a913-4eae-8514-9be858fdb9b3", "aab0a0</v>
      </c>
      <c r="W740" t="str">
        <f t="shared" si="46"/>
        <v>be-89e6-442e-8cf9-e762bd18f76b", "aab0a0be-89e6-442e-8cf9-e762bd18f76b", "5d642d09-8e03-4200-a79b-2a397a6d5d51", "98908792-f315-4834-9b5e-20fed66cbe5a", "2ee6b8bf-6292-413c-bb8b-bd22dbb2ad4b"]</v>
      </c>
      <c r="X740" t="str">
        <f t="shared" si="47"/>
        <v/>
      </c>
    </row>
    <row r="741" spans="1:24" ht="409.5" x14ac:dyDescent="0.25">
      <c r="A741" t="s">
        <v>4113</v>
      </c>
      <c r="B741" t="s">
        <v>4114</v>
      </c>
      <c r="C741" t="s">
        <v>4115</v>
      </c>
      <c r="F741" s="2" t="s">
        <v>4116</v>
      </c>
      <c r="L741" t="s">
        <v>24</v>
      </c>
      <c r="M741" t="s">
        <v>25</v>
      </c>
      <c r="O741" t="s">
        <v>26</v>
      </c>
      <c r="P741" t="s">
        <v>4117</v>
      </c>
      <c r="Q741" t="s">
        <v>3887</v>
      </c>
      <c r="R741" t="s">
        <v>4118</v>
      </c>
      <c r="T741" t="s">
        <v>433</v>
      </c>
      <c r="U741" t="str">
        <f t="shared" si="44"/>
        <v>["2c54f4d6-5712-4e5a-a025-b7f7a396c39b"]</v>
      </c>
      <c r="V741" t="str">
        <f t="shared" si="45"/>
        <v/>
      </c>
      <c r="W741" t="str">
        <f t="shared" si="46"/>
        <v/>
      </c>
      <c r="X741" t="str">
        <f t="shared" si="47"/>
        <v/>
      </c>
    </row>
    <row r="742" spans="1:24" x14ac:dyDescent="0.25">
      <c r="A742" t="s">
        <v>4119</v>
      </c>
      <c r="B742" t="s">
        <v>4120</v>
      </c>
      <c r="C742" t="s">
        <v>4121</v>
      </c>
      <c r="F742" t="s">
        <v>4122</v>
      </c>
      <c r="L742" t="s">
        <v>24</v>
      </c>
      <c r="M742" t="s">
        <v>25</v>
      </c>
      <c r="O742" t="s">
        <v>26</v>
      </c>
      <c r="P742" t="s">
        <v>4123</v>
      </c>
      <c r="Q742" t="s">
        <v>28</v>
      </c>
      <c r="R742" s="3">
        <v>44417.717476851853</v>
      </c>
      <c r="T742" t="s">
        <v>433</v>
      </c>
      <c r="U742" t="str">
        <f t="shared" si="44"/>
        <v>["2c54f4d6-5712-4e5a-a025-b7f7a396c39b"]</v>
      </c>
      <c r="V742" t="str">
        <f t="shared" si="45"/>
        <v/>
      </c>
      <c r="W742" t="str">
        <f t="shared" si="46"/>
        <v/>
      </c>
      <c r="X742" t="str">
        <f t="shared" si="47"/>
        <v/>
      </c>
    </row>
    <row r="743" spans="1:24" ht="409.5" x14ac:dyDescent="0.25">
      <c r="A743" t="s">
        <v>4124</v>
      </c>
      <c r="B743" t="s">
        <v>4125</v>
      </c>
      <c r="C743" t="s">
        <v>4126</v>
      </c>
      <c r="F743" s="2" t="s">
        <v>4127</v>
      </c>
      <c r="L743" t="s">
        <v>24</v>
      </c>
      <c r="M743" t="s">
        <v>25</v>
      </c>
      <c r="O743" t="s">
        <v>26</v>
      </c>
      <c r="P743" t="s">
        <v>4128</v>
      </c>
      <c r="Q743" t="s">
        <v>28</v>
      </c>
      <c r="R743" s="3">
        <v>44140.692731481482</v>
      </c>
      <c r="T743" t="s">
        <v>4129</v>
      </c>
      <c r="U743" t="str">
        <f t="shared" si="44"/>
        <v>["354f9aa0-2f0a-4cdf-9b60-d023da93cc76", "146384fc-3f64-4482-a78a-2f082411a27d", "be2e0197-57b8-4fcf-a144-cb33f7466f3a", "2ed52078-7e55-40ea-8036-0d89118a06f4", "523ba2e4-8c55-4dde-8acf-39e3621811b0"]</v>
      </c>
      <c r="V743" t="str">
        <f t="shared" si="45"/>
        <v/>
      </c>
      <c r="W743" t="str">
        <f t="shared" si="46"/>
        <v/>
      </c>
      <c r="X743" t="str">
        <f t="shared" si="47"/>
        <v/>
      </c>
    </row>
    <row r="744" spans="1:24" ht="409.5" x14ac:dyDescent="0.25">
      <c r="A744" t="s">
        <v>4130</v>
      </c>
      <c r="B744" t="s">
        <v>4131</v>
      </c>
      <c r="C744" t="s">
        <v>4132</v>
      </c>
      <c r="F744" s="2" t="s">
        <v>4133</v>
      </c>
      <c r="L744" t="s">
        <v>24</v>
      </c>
      <c r="M744" t="s">
        <v>25</v>
      </c>
      <c r="O744" t="s">
        <v>26</v>
      </c>
      <c r="P744" t="s">
        <v>4134</v>
      </c>
      <c r="Q744" t="s">
        <v>28</v>
      </c>
      <c r="R744" s="3">
        <v>41190.564432870371</v>
      </c>
      <c r="T744" t="s">
        <v>281</v>
      </c>
      <c r="U744" t="str">
        <f t="shared" si="44"/>
        <v>["146384fc-3f64-4482-a78a-2f082411a27d"]</v>
      </c>
      <c r="V744" t="str">
        <f t="shared" si="45"/>
        <v/>
      </c>
      <c r="W744" t="str">
        <f t="shared" si="46"/>
        <v/>
      </c>
      <c r="X744" t="str">
        <f t="shared" si="47"/>
        <v/>
      </c>
    </row>
    <row r="745" spans="1:24" x14ac:dyDescent="0.25">
      <c r="A745" t="s">
        <v>4135</v>
      </c>
      <c r="B745" t="s">
        <v>4136</v>
      </c>
      <c r="C745" t="s">
        <v>4137</v>
      </c>
      <c r="F745" t="s">
        <v>4138</v>
      </c>
      <c r="L745" t="s">
        <v>24</v>
      </c>
      <c r="M745" t="s">
        <v>25</v>
      </c>
      <c r="O745" t="s">
        <v>26</v>
      </c>
      <c r="P745" t="s">
        <v>4139</v>
      </c>
      <c r="Q745" t="s">
        <v>28</v>
      </c>
      <c r="R745" s="3">
        <v>43969.670243055552</v>
      </c>
      <c r="T745" t="s">
        <v>2879</v>
      </c>
      <c r="U745" t="str">
        <f t="shared" si="44"/>
        <v>["36886c25-6961-4055-96b2-b3e8b138e588", "2c54f4d6-5712-4e5a-a025-b7f7a396c39b"]</v>
      </c>
      <c r="V745" t="str">
        <f t="shared" si="45"/>
        <v/>
      </c>
      <c r="W745" t="str">
        <f t="shared" si="46"/>
        <v/>
      </c>
      <c r="X745" t="str">
        <f t="shared" si="47"/>
        <v/>
      </c>
    </row>
    <row r="746" spans="1:24" ht="409.5" x14ac:dyDescent="0.25">
      <c r="A746" t="s">
        <v>4140</v>
      </c>
      <c r="B746" t="s">
        <v>4141</v>
      </c>
      <c r="C746" t="s">
        <v>4142</v>
      </c>
      <c r="F746" s="2" t="s">
        <v>4143</v>
      </c>
      <c r="L746" t="s">
        <v>24</v>
      </c>
      <c r="M746" t="s">
        <v>25</v>
      </c>
      <c r="O746" t="s">
        <v>26</v>
      </c>
      <c r="P746" t="s">
        <v>4144</v>
      </c>
      <c r="Q746" t="s">
        <v>28</v>
      </c>
      <c r="R746" s="3">
        <v>44043.466400462959</v>
      </c>
      <c r="T746" t="s">
        <v>4145</v>
      </c>
      <c r="U746" t="str">
        <f t="shared" si="44"/>
        <v>["fa499042-c486-42a0-973a-7211490c1764", "2c54f4d6-5712-4e5a-a025-b7f7a396c39b"]</v>
      </c>
      <c r="V746" t="str">
        <f t="shared" si="45"/>
        <v/>
      </c>
      <c r="W746" t="str">
        <f t="shared" si="46"/>
        <v/>
      </c>
      <c r="X746" t="str">
        <f t="shared" si="47"/>
        <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11.4257812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1.42578125"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Tabelle1</vt:lpstr>
      <vt:lpstr>Tabelle2</vt:lpstr>
      <vt:lpstr>Tabelle3</vt:lpstr>
    </vt:vector>
  </TitlesOfParts>
  <Company>Bundrechenzentrum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Bruno Tiefengraber</dc:creator>
  <dc:description>OE: Bundesrechenzentrum</dc:description>
  <cp:lastModifiedBy>Adrian Vitzthum-Lettner</cp:lastModifiedBy>
  <cp:lastPrinted>2023-03-14T13:45:08Z</cp:lastPrinted>
  <dcterms:created xsi:type="dcterms:W3CDTF">2017-08-10T11:50:27Z</dcterms:created>
  <dcterms:modified xsi:type="dcterms:W3CDTF">2024-08-20T11:12:53Z</dcterms:modified>
</cp:coreProperties>
</file>